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ate1904="1" codeName="ThisWorkbook"/>
  <mc:AlternateContent xmlns:mc="http://schemas.openxmlformats.org/markup-compatibility/2006">
    <mc:Choice Requires="x15">
      <x15ac:absPath xmlns:x15ac="http://schemas.microsoft.com/office/spreadsheetml/2010/11/ac" url="D:\Cloud\Docs\Git\mkisel\Tally Parser\Sample\"/>
    </mc:Choice>
  </mc:AlternateContent>
  <xr:revisionPtr revIDLastSave="0" documentId="8_{7B07B24C-BFCD-4EA9-8491-4F32C41A98A5}" xr6:coauthVersionLast="47" xr6:coauthVersionMax="47" xr10:uidLastSave="{00000000-0000-0000-0000-000000000000}"/>
  <bookViews>
    <workbookView xWindow="-120" yWindow="-120" windowWidth="29040" windowHeight="15720" tabRatio="681" firstSheet="1" activeTab="4" xr2:uid="{00000000-000D-0000-FFFF-FFFF00000000}"/>
  </bookViews>
  <sheets>
    <sheet name="xxxxxx" sheetId="1" state="veryHidden" r:id="rId1"/>
    <sheet name="QG NFQ17-01 - FINAL As RUN" sheetId="12" r:id="rId2"/>
    <sheet name="QG NFQ17-01 - Space Out" sheetId="11" r:id="rId3"/>
    <sheet name="Deck Tally" sheetId="9" r:id="rId4"/>
    <sheet name="SPACE OUT Calculation" sheetId="7" r:id="rId5"/>
  </sheets>
  <definedNames>
    <definedName name="EKIKO2" localSheetId="1">'QG NFQ17-01 - FINAL As RUN'!$E$3</definedName>
    <definedName name="EKIKO2" localSheetId="2">'QG NFQ17-01 - Space Out'!$E$3</definedName>
    <definedName name="EKIKO2" localSheetId="4">#REF!</definedName>
    <definedName name="EKIKO2">#REF!</definedName>
    <definedName name="_xlnm.Print_Titles" localSheetId="1">'QG NFQ17-01 - FINAL As RUN'!$11:$12</definedName>
    <definedName name="_xlnm.Print_Titles" localSheetId="2">'QG NFQ17-01 - Space Out'!$11:$12</definedName>
    <definedName name="_xlnm.Print_Area" localSheetId="1">'QG NFQ17-01 - FINAL As RUN'!$A$1:$L$389</definedName>
    <definedName name="_xlnm.Print_Area" localSheetId="2">'QG NFQ17-01 - Space Out'!$A$1:$L$392</definedName>
    <definedName name="_xlnm.Print_Area" localSheetId="4">'SPACE OUT Calculation'!$A$1:$AK$55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9" i="12" l="1"/>
  <c r="C374" i="9"/>
  <c r="F388" i="12" l="1"/>
  <c r="L380" i="12"/>
  <c r="F348" i="12"/>
  <c r="F347" i="12"/>
  <c r="F346" i="12"/>
  <c r="F345" i="12"/>
  <c r="D24" i="12"/>
  <c r="D25" i="12" s="1"/>
  <c r="D26" i="12" s="1"/>
  <c r="D27" i="12" s="1"/>
  <c r="D28" i="12" s="1"/>
  <c r="D29" i="12" s="1"/>
  <c r="D30" i="12" s="1"/>
  <c r="D31" i="12" s="1"/>
  <c r="D32" i="12" s="1"/>
  <c r="D33" i="12" s="1"/>
  <c r="D34" i="12" s="1"/>
  <c r="D35" i="12" s="1"/>
  <c r="D36" i="12" s="1"/>
  <c r="D37" i="12" s="1"/>
  <c r="D38" i="12" s="1"/>
  <c r="D39" i="12" s="1"/>
  <c r="D40" i="12" s="1"/>
  <c r="D41" i="12" s="1"/>
  <c r="D42" i="12" s="1"/>
  <c r="D43" i="12" s="1"/>
  <c r="D44" i="12" s="1"/>
  <c r="D45" i="12" s="1"/>
  <c r="D46" i="12" s="1"/>
  <c r="D47" i="12" s="1"/>
  <c r="D48" i="12" s="1"/>
  <c r="D49" i="12" s="1"/>
  <c r="D50" i="12" s="1"/>
  <c r="D51" i="12" s="1"/>
  <c r="D52" i="12" s="1"/>
  <c r="D53" i="12" s="1"/>
  <c r="D54" i="12" s="1"/>
  <c r="D55" i="12" s="1"/>
  <c r="D56" i="12" s="1"/>
  <c r="D57" i="12" s="1"/>
  <c r="D58" i="12" s="1"/>
  <c r="D59" i="12" s="1"/>
  <c r="D60" i="12" s="1"/>
  <c r="D61" i="12" s="1"/>
  <c r="D62" i="12" s="1"/>
  <c r="D63" i="12" s="1"/>
  <c r="D64" i="12" s="1"/>
  <c r="D65" i="12" s="1"/>
  <c r="D66" i="12" s="1"/>
  <c r="D67" i="12" s="1"/>
  <c r="D68" i="12" s="1"/>
  <c r="D69" i="12" s="1"/>
  <c r="D70" i="12" s="1"/>
  <c r="D71" i="12" s="1"/>
  <c r="D72" i="12" s="1"/>
  <c r="D73" i="12" s="1"/>
  <c r="D74" i="12" s="1"/>
  <c r="D75" i="12" s="1"/>
  <c r="D76" i="12" s="1"/>
  <c r="D77" i="12" s="1"/>
  <c r="D78" i="12" s="1"/>
  <c r="D79" i="12" s="1"/>
  <c r="D80" i="12" s="1"/>
  <c r="D81" i="12" s="1"/>
  <c r="D82" i="12" s="1"/>
  <c r="D83" i="12" s="1"/>
  <c r="D84" i="12" s="1"/>
  <c r="D85" i="12" s="1"/>
  <c r="D86" i="12" s="1"/>
  <c r="D87" i="12" s="1"/>
  <c r="D88" i="12" s="1"/>
  <c r="D89" i="12" s="1"/>
  <c r="D90" i="12" s="1"/>
  <c r="D91" i="12" s="1"/>
  <c r="D92" i="12" s="1"/>
  <c r="D93" i="12" s="1"/>
  <c r="D94" i="12" s="1"/>
  <c r="D95" i="12" s="1"/>
  <c r="D96" i="12" s="1"/>
  <c r="D97" i="12" s="1"/>
  <c r="D98" i="12" s="1"/>
  <c r="D99" i="12" s="1"/>
  <c r="D100" i="12" s="1"/>
  <c r="D101" i="12" s="1"/>
  <c r="D102" i="12" s="1"/>
  <c r="D103" i="12" s="1"/>
  <c r="D104" i="12" s="1"/>
  <c r="D105" i="12" s="1"/>
  <c r="D106" i="12" s="1"/>
  <c r="D107" i="12" s="1"/>
  <c r="D108" i="12" s="1"/>
  <c r="D109" i="12" s="1"/>
  <c r="D110" i="12" s="1"/>
  <c r="D111" i="12" s="1"/>
  <c r="D112" i="12" s="1"/>
  <c r="D113" i="12" s="1"/>
  <c r="D114" i="12" s="1"/>
  <c r="D115" i="12" s="1"/>
  <c r="D116" i="12" s="1"/>
  <c r="D117" i="12" s="1"/>
  <c r="D118" i="12" s="1"/>
  <c r="D119" i="12" s="1"/>
  <c r="D120" i="12" s="1"/>
  <c r="D121" i="12" s="1"/>
  <c r="D122" i="12" s="1"/>
  <c r="D123" i="12" s="1"/>
  <c r="D124" i="12" s="1"/>
  <c r="D125" i="12" s="1"/>
  <c r="D126" i="12" s="1"/>
  <c r="D127" i="12" s="1"/>
  <c r="D128" i="12" s="1"/>
  <c r="D129" i="12" s="1"/>
  <c r="D130" i="12" s="1"/>
  <c r="D131" i="12" s="1"/>
  <c r="D132" i="12" s="1"/>
  <c r="D133" i="12" s="1"/>
  <c r="D134" i="12" s="1"/>
  <c r="D135" i="12" s="1"/>
  <c r="D136" i="12" s="1"/>
  <c r="D137" i="12" s="1"/>
  <c r="D138" i="12" s="1"/>
  <c r="D139" i="12" s="1"/>
  <c r="D140" i="12" s="1"/>
  <c r="D141" i="12" s="1"/>
  <c r="D142" i="12" s="1"/>
  <c r="D143" i="12" s="1"/>
  <c r="D144" i="12" s="1"/>
  <c r="D145" i="12" s="1"/>
  <c r="D146" i="12" s="1"/>
  <c r="D147" i="12" s="1"/>
  <c r="D148" i="12" s="1"/>
  <c r="D149" i="12" s="1"/>
  <c r="D150" i="12" s="1"/>
  <c r="D151" i="12" s="1"/>
  <c r="D152" i="12" s="1"/>
  <c r="D153" i="12" s="1"/>
  <c r="D154" i="12" s="1"/>
  <c r="D155" i="12" s="1"/>
  <c r="D156" i="12" s="1"/>
  <c r="D157" i="12" s="1"/>
  <c r="D158" i="12" s="1"/>
  <c r="D159" i="12" s="1"/>
  <c r="D160" i="12" s="1"/>
  <c r="D161" i="12" s="1"/>
  <c r="D162" i="12" s="1"/>
  <c r="D163" i="12" s="1"/>
  <c r="D164" i="12" s="1"/>
  <c r="D165" i="12" s="1"/>
  <c r="D166" i="12" s="1"/>
  <c r="D167" i="12" s="1"/>
  <c r="D168" i="12" s="1"/>
  <c r="D169" i="12" s="1"/>
  <c r="D170" i="12" s="1"/>
  <c r="D171" i="12" s="1"/>
  <c r="D172" i="12" s="1"/>
  <c r="D173" i="12" s="1"/>
  <c r="D174" i="12" s="1"/>
  <c r="D175" i="12" s="1"/>
  <c r="D176" i="12" s="1"/>
  <c r="D177" i="12" s="1"/>
  <c r="D178" i="12" s="1"/>
  <c r="D179" i="12" s="1"/>
  <c r="D180" i="12" s="1"/>
  <c r="D181" i="12" s="1"/>
  <c r="D182" i="12" s="1"/>
  <c r="D183" i="12" s="1"/>
  <c r="D184" i="12" s="1"/>
  <c r="D185" i="12" s="1"/>
  <c r="D186" i="12" s="1"/>
  <c r="D187" i="12" s="1"/>
  <c r="D188" i="12" s="1"/>
  <c r="D189" i="12" s="1"/>
  <c r="D190" i="12" s="1"/>
  <c r="D191" i="12" s="1"/>
  <c r="D192" i="12" s="1"/>
  <c r="D193" i="12" s="1"/>
  <c r="D194" i="12" s="1"/>
  <c r="D195" i="12" s="1"/>
  <c r="D196" i="12" s="1"/>
  <c r="D197" i="12" s="1"/>
  <c r="D198" i="12" s="1"/>
  <c r="D199" i="12" s="1"/>
  <c r="D200" i="12" s="1"/>
  <c r="D201" i="12" s="1"/>
  <c r="D202" i="12" s="1"/>
  <c r="D203" i="12" s="1"/>
  <c r="D204" i="12" s="1"/>
  <c r="D205" i="12" s="1"/>
  <c r="D206" i="12" s="1"/>
  <c r="D207" i="12" s="1"/>
  <c r="D208" i="12" s="1"/>
  <c r="D209" i="12" s="1"/>
  <c r="D210" i="12" s="1"/>
  <c r="D211" i="12" s="1"/>
  <c r="D212" i="12" s="1"/>
  <c r="D213" i="12" s="1"/>
  <c r="D214" i="12" s="1"/>
  <c r="D215" i="12" s="1"/>
  <c r="D216" i="12" s="1"/>
  <c r="D217" i="12" s="1"/>
  <c r="D218" i="12" s="1"/>
  <c r="D219" i="12" s="1"/>
  <c r="D220" i="12" s="1"/>
  <c r="D221" i="12" s="1"/>
  <c r="D222" i="12" s="1"/>
  <c r="D223" i="12" s="1"/>
  <c r="D224" i="12" s="1"/>
  <c r="D225" i="12" s="1"/>
  <c r="D226" i="12" s="1"/>
  <c r="D227" i="12" s="1"/>
  <c r="D228" i="12" s="1"/>
  <c r="D229" i="12" s="1"/>
  <c r="D230" i="12" s="1"/>
  <c r="D231" i="12" s="1"/>
  <c r="D232" i="12" s="1"/>
  <c r="D233" i="12" s="1"/>
  <c r="D234" i="12" s="1"/>
  <c r="D235" i="12" s="1"/>
  <c r="D236" i="12" s="1"/>
  <c r="D237" i="12" s="1"/>
  <c r="D238" i="12" s="1"/>
  <c r="D239" i="12" s="1"/>
  <c r="D240" i="12" s="1"/>
  <c r="D241" i="12" s="1"/>
  <c r="D242" i="12" s="1"/>
  <c r="D243" i="12" s="1"/>
  <c r="D244" i="12" s="1"/>
  <c r="D245" i="12" s="1"/>
  <c r="D246" i="12" s="1"/>
  <c r="D247" i="12" s="1"/>
  <c r="D248" i="12" s="1"/>
  <c r="D249" i="12" s="1"/>
  <c r="D250" i="12" s="1"/>
  <c r="D251" i="12" s="1"/>
  <c r="D252" i="12" s="1"/>
  <c r="D253" i="12" s="1"/>
  <c r="D254" i="12" s="1"/>
  <c r="D255" i="12" s="1"/>
  <c r="D256" i="12" s="1"/>
  <c r="D257" i="12" s="1"/>
  <c r="D258" i="12" s="1"/>
  <c r="D259" i="12" s="1"/>
  <c r="D260" i="12" s="1"/>
  <c r="D261" i="12" s="1"/>
  <c r="D262" i="12" s="1"/>
  <c r="D263" i="12" s="1"/>
  <c r="D264" i="12" s="1"/>
  <c r="D265" i="12" s="1"/>
  <c r="D266" i="12" s="1"/>
  <c r="D267" i="12" s="1"/>
  <c r="D268" i="12" s="1"/>
  <c r="D269" i="12" s="1"/>
  <c r="D270" i="12" s="1"/>
  <c r="D271" i="12" s="1"/>
  <c r="D272" i="12" s="1"/>
  <c r="D273" i="12" s="1"/>
  <c r="D274" i="12" s="1"/>
  <c r="D275" i="12" s="1"/>
  <c r="D276" i="12" s="1"/>
  <c r="D277" i="12" s="1"/>
  <c r="D278" i="12" s="1"/>
  <c r="D279" i="12" s="1"/>
  <c r="D280" i="12" s="1"/>
  <c r="D281" i="12" s="1"/>
  <c r="D282" i="12" s="1"/>
  <c r="D283" i="12" s="1"/>
  <c r="D284" i="12" s="1"/>
  <c r="D285" i="12" s="1"/>
  <c r="D286" i="12" s="1"/>
  <c r="D287" i="12" s="1"/>
  <c r="D288" i="12" s="1"/>
  <c r="D289" i="12" s="1"/>
  <c r="D290" i="12" s="1"/>
  <c r="D291" i="12" s="1"/>
  <c r="D292" i="12" s="1"/>
  <c r="D293" i="12" s="1"/>
  <c r="D294" i="12" s="1"/>
  <c r="D295" i="12" s="1"/>
  <c r="D296" i="12" s="1"/>
  <c r="D297" i="12" s="1"/>
  <c r="D298" i="12" s="1"/>
  <c r="D299" i="12" s="1"/>
  <c r="D300" i="12" s="1"/>
  <c r="D301" i="12" s="1"/>
  <c r="D302" i="12" s="1"/>
  <c r="D303" i="12" s="1"/>
  <c r="D304" i="12" s="1"/>
  <c r="D305" i="12" s="1"/>
  <c r="D306" i="12" s="1"/>
  <c r="D307" i="12" s="1"/>
  <c r="D308" i="12" s="1"/>
  <c r="D309" i="12" s="1"/>
  <c r="D310" i="12" s="1"/>
  <c r="D311" i="12" s="1"/>
  <c r="D312" i="12" s="1"/>
  <c r="D313" i="12" s="1"/>
  <c r="D314" i="12" s="1"/>
  <c r="D315" i="12" s="1"/>
  <c r="D316" i="12" s="1"/>
  <c r="D317" i="12" s="1"/>
  <c r="D318" i="12" s="1"/>
  <c r="D319" i="12" s="1"/>
  <c r="D320" i="12" s="1"/>
  <c r="D321" i="12" s="1"/>
  <c r="D322" i="12" s="1"/>
  <c r="D323" i="12" s="1"/>
  <c r="D324" i="12" s="1"/>
  <c r="D325" i="12" s="1"/>
  <c r="D326" i="12" s="1"/>
  <c r="D327" i="12" s="1"/>
  <c r="D328" i="12" s="1"/>
  <c r="D329" i="12" s="1"/>
  <c r="D330" i="12" s="1"/>
  <c r="D331" i="12" s="1"/>
  <c r="D332" i="12" s="1"/>
  <c r="D333" i="12" s="1"/>
  <c r="D334" i="12" s="1"/>
  <c r="D335" i="12" s="1"/>
  <c r="D336" i="12" s="1"/>
  <c r="D337" i="12" s="1"/>
  <c r="D338" i="12" s="1"/>
  <c r="D339" i="12" s="1"/>
  <c r="D340" i="12" s="1"/>
  <c r="D341" i="12" s="1"/>
  <c r="D342" i="12" s="1"/>
  <c r="D343" i="12" s="1"/>
  <c r="D349" i="12" s="1"/>
  <c r="D350" i="12" s="1"/>
  <c r="D351" i="12" s="1"/>
  <c r="D352" i="12" s="1"/>
  <c r="D353" i="12" s="1"/>
  <c r="D354" i="12" s="1"/>
  <c r="D355" i="12" s="1"/>
  <c r="D356" i="12" s="1"/>
  <c r="D357" i="12" s="1"/>
  <c r="D358" i="12" s="1"/>
  <c r="D359" i="12" s="1"/>
  <c r="D360" i="12" s="1"/>
  <c r="D361" i="12" s="1"/>
  <c r="D362" i="12" s="1"/>
  <c r="D363" i="12" s="1"/>
  <c r="D364" i="12" s="1"/>
  <c r="D365" i="12" s="1"/>
  <c r="D366" i="12" s="1"/>
  <c r="D367" i="12" s="1"/>
  <c r="D368" i="12" s="1"/>
  <c r="D369" i="12" s="1"/>
  <c r="D370" i="12" s="1"/>
  <c r="D371" i="12" s="1"/>
  <c r="D372" i="12" s="1"/>
  <c r="D373" i="12" s="1"/>
  <c r="D374" i="12" s="1"/>
  <c r="D375" i="12" s="1"/>
  <c r="D376" i="12" s="1"/>
  <c r="D377" i="12" s="1"/>
  <c r="D378" i="12" s="1"/>
  <c r="D379" i="12" s="1"/>
  <c r="D380" i="12" s="1"/>
  <c r="D381" i="12" s="1"/>
  <c r="D382" i="12" s="1"/>
  <c r="D383" i="12" s="1"/>
  <c r="D384" i="12" s="1"/>
  <c r="F22" i="12"/>
  <c r="F21" i="12"/>
  <c r="F20" i="12"/>
  <c r="F19" i="12"/>
  <c r="F16" i="12"/>
  <c r="F15" i="12"/>
  <c r="H14" i="12"/>
  <c r="F14" i="12"/>
  <c r="H13" i="12"/>
  <c r="K6" i="12" s="1"/>
  <c r="G10" i="12"/>
  <c r="C10" i="12"/>
  <c r="F188" i="12" s="1"/>
  <c r="L387" i="11"/>
  <c r="F28" i="12" l="1"/>
  <c r="F58" i="12"/>
  <c r="F23" i="12"/>
  <c r="F32" i="12"/>
  <c r="F66" i="12"/>
  <c r="F98" i="12"/>
  <c r="F128" i="12"/>
  <c r="F90" i="12"/>
  <c r="F122" i="12"/>
  <c r="F220" i="12"/>
  <c r="F17" i="12"/>
  <c r="F25" i="12"/>
  <c r="F42" i="12"/>
  <c r="F74" i="12"/>
  <c r="F106" i="12"/>
  <c r="F130" i="12"/>
  <c r="J14" i="12"/>
  <c r="F18" i="12"/>
  <c r="F27" i="12"/>
  <c r="F50" i="12"/>
  <c r="F82" i="12"/>
  <c r="F114" i="12"/>
  <c r="F156" i="12"/>
  <c r="I13" i="12"/>
  <c r="I14" i="12"/>
  <c r="K9" i="12"/>
  <c r="H15" i="12"/>
  <c r="F24" i="12"/>
  <c r="F34" i="12"/>
  <c r="F46" i="12"/>
  <c r="F62" i="12"/>
  <c r="F78" i="12"/>
  <c r="F94" i="12"/>
  <c r="F110" i="12"/>
  <c r="F172" i="12"/>
  <c r="F385" i="12"/>
  <c r="F384" i="12"/>
  <c r="F377" i="12"/>
  <c r="F373" i="12"/>
  <c r="F369" i="12"/>
  <c r="F365" i="12"/>
  <c r="F361" i="12"/>
  <c r="F357" i="12"/>
  <c r="F353" i="12"/>
  <c r="F349" i="12"/>
  <c r="F341" i="12"/>
  <c r="F337" i="12"/>
  <c r="F333" i="12"/>
  <c r="F329" i="12"/>
  <c r="F325" i="12"/>
  <c r="F321" i="12"/>
  <c r="F387" i="12"/>
  <c r="F383" i="12"/>
  <c r="F380" i="12"/>
  <c r="F376" i="12"/>
  <c r="F372" i="12"/>
  <c r="F368" i="12"/>
  <c r="F364" i="12"/>
  <c r="F360" i="12"/>
  <c r="F356" i="12"/>
  <c r="F352" i="12"/>
  <c r="F344" i="12"/>
  <c r="F340" i="12"/>
  <c r="F336" i="12"/>
  <c r="F332" i="12"/>
  <c r="F328" i="12"/>
  <c r="F324" i="12"/>
  <c r="F320" i="12"/>
  <c r="F382" i="12"/>
  <c r="F379" i="12"/>
  <c r="F371" i="12"/>
  <c r="F363" i="12"/>
  <c r="F355" i="12"/>
  <c r="F343" i="12"/>
  <c r="F335" i="12"/>
  <c r="F327" i="12"/>
  <c r="F319" i="12"/>
  <c r="F315" i="12"/>
  <c r="F311" i="12"/>
  <c r="F307" i="12"/>
  <c r="F303" i="12"/>
  <c r="F299" i="12"/>
  <c r="F295" i="12"/>
  <c r="F291" i="12"/>
  <c r="F287" i="12"/>
  <c r="F374" i="12"/>
  <c r="F366" i="12"/>
  <c r="F358" i="12"/>
  <c r="F350" i="12"/>
  <c r="F338" i="12"/>
  <c r="F330" i="12"/>
  <c r="F322" i="12"/>
  <c r="F318" i="12"/>
  <c r="F314" i="12"/>
  <c r="F310" i="12"/>
  <c r="F306" i="12"/>
  <c r="F302" i="12"/>
  <c r="F298" i="12"/>
  <c r="F294" i="12"/>
  <c r="F290" i="12"/>
  <c r="F286" i="12"/>
  <c r="F367" i="12"/>
  <c r="F351" i="12"/>
  <c r="F331" i="12"/>
  <c r="F317" i="12"/>
  <c r="F309" i="12"/>
  <c r="F301" i="12"/>
  <c r="F293" i="12"/>
  <c r="F285" i="12"/>
  <c r="F281" i="12"/>
  <c r="F277" i="12"/>
  <c r="F273" i="12"/>
  <c r="F269" i="12"/>
  <c r="F265" i="12"/>
  <c r="F261" i="12"/>
  <c r="F257" i="12"/>
  <c r="F253" i="12"/>
  <c r="F249" i="12"/>
  <c r="F245" i="12"/>
  <c r="F241" i="12"/>
  <c r="F237" i="12"/>
  <c r="F233" i="12"/>
  <c r="F386" i="12"/>
  <c r="F370" i="12"/>
  <c r="F354" i="12"/>
  <c r="F334" i="12"/>
  <c r="F312" i="12"/>
  <c r="F304" i="12"/>
  <c r="F296" i="12"/>
  <c r="F288" i="12"/>
  <c r="F284" i="12"/>
  <c r="F280" i="12"/>
  <c r="F276" i="12"/>
  <c r="F272" i="12"/>
  <c r="F268" i="12"/>
  <c r="F264" i="12"/>
  <c r="F260" i="12"/>
  <c r="F256" i="12"/>
  <c r="F252" i="12"/>
  <c r="F248" i="12"/>
  <c r="F244" i="12"/>
  <c r="F240" i="12"/>
  <c r="F375" i="12"/>
  <c r="F359" i="12"/>
  <c r="F339" i="12"/>
  <c r="F323" i="12"/>
  <c r="F313" i="12"/>
  <c r="F305" i="12"/>
  <c r="F297" i="12"/>
  <c r="F289" i="12"/>
  <c r="F283" i="12"/>
  <c r="F279" i="12"/>
  <c r="F275" i="12"/>
  <c r="F271" i="12"/>
  <c r="F267" i="12"/>
  <c r="F263" i="12"/>
  <c r="F259" i="12"/>
  <c r="F255" i="12"/>
  <c r="F381" i="12"/>
  <c r="F342" i="12"/>
  <c r="F292" i="12"/>
  <c r="F282" i="12"/>
  <c r="F266" i="12"/>
  <c r="F246" i="12"/>
  <c r="F238" i="12"/>
  <c r="F227" i="12"/>
  <c r="F223" i="12"/>
  <c r="F219" i="12"/>
  <c r="F215" i="12"/>
  <c r="F211" i="12"/>
  <c r="F207" i="12"/>
  <c r="F203" i="12"/>
  <c r="F199" i="12"/>
  <c r="F195" i="12"/>
  <c r="F191" i="12"/>
  <c r="F187" i="12"/>
  <c r="F183" i="12"/>
  <c r="F179" i="12"/>
  <c r="F175" i="12"/>
  <c r="F171" i="12"/>
  <c r="F167" i="12"/>
  <c r="F163" i="12"/>
  <c r="F159" i="12"/>
  <c r="F155" i="12"/>
  <c r="F151" i="12"/>
  <c r="F147" i="12"/>
  <c r="F143" i="12"/>
  <c r="F139" i="12"/>
  <c r="F135" i="12"/>
  <c r="F131" i="12"/>
  <c r="F127" i="12"/>
  <c r="F378" i="12"/>
  <c r="F326" i="12"/>
  <c r="F316" i="12"/>
  <c r="F278" i="12"/>
  <c r="F262" i="12"/>
  <c r="F247" i="12"/>
  <c r="F239" i="12"/>
  <c r="F232" i="12"/>
  <c r="F231" i="12"/>
  <c r="F230" i="12"/>
  <c r="F226" i="12"/>
  <c r="F222" i="12"/>
  <c r="F218" i="12"/>
  <c r="F214" i="12"/>
  <c r="F210" i="12"/>
  <c r="F206" i="12"/>
  <c r="F202" i="12"/>
  <c r="F198" i="12"/>
  <c r="F194" i="12"/>
  <c r="F190" i="12"/>
  <c r="F186" i="12"/>
  <c r="F182" i="12"/>
  <c r="F178" i="12"/>
  <c r="F174" i="12"/>
  <c r="F170" i="12"/>
  <c r="F166" i="12"/>
  <c r="F162" i="12"/>
  <c r="F158" i="12"/>
  <c r="F154" i="12"/>
  <c r="F150" i="12"/>
  <c r="F146" i="12"/>
  <c r="F142" i="12"/>
  <c r="F138" i="12"/>
  <c r="F362" i="12"/>
  <c r="F308" i="12"/>
  <c r="F274" i="12"/>
  <c r="F258" i="12"/>
  <c r="F250" i="12"/>
  <c r="F242" i="12"/>
  <c r="F236" i="12"/>
  <c r="F235" i="12"/>
  <c r="F234" i="12"/>
  <c r="F229" i="12"/>
  <c r="F225" i="12"/>
  <c r="F221" i="12"/>
  <c r="F217" i="12"/>
  <c r="F213" i="12"/>
  <c r="F209" i="12"/>
  <c r="F205" i="12"/>
  <c r="F201" i="12"/>
  <c r="F197" i="12"/>
  <c r="F193" i="12"/>
  <c r="F189" i="12"/>
  <c r="F185" i="12"/>
  <c r="F181" i="12"/>
  <c r="F177" i="12"/>
  <c r="F173" i="12"/>
  <c r="F169" i="12"/>
  <c r="F165" i="12"/>
  <c r="F161" i="12"/>
  <c r="F157" i="12"/>
  <c r="F153" i="12"/>
  <c r="F149" i="12"/>
  <c r="F145" i="12"/>
  <c r="F141" i="12"/>
  <c r="F137" i="12"/>
  <c r="F243" i="12"/>
  <c r="F216" i="12"/>
  <c r="F200" i="12"/>
  <c r="F184" i="12"/>
  <c r="F168" i="12"/>
  <c r="F152" i="12"/>
  <c r="F134" i="12"/>
  <c r="F133" i="12"/>
  <c r="F132" i="12"/>
  <c r="F121" i="12"/>
  <c r="F117" i="12"/>
  <c r="F113" i="12"/>
  <c r="F109" i="12"/>
  <c r="F105" i="12"/>
  <c r="F101" i="12"/>
  <c r="F97" i="12"/>
  <c r="F93" i="12"/>
  <c r="F89" i="12"/>
  <c r="F85" i="12"/>
  <c r="F81" i="12"/>
  <c r="F77" i="12"/>
  <c r="F73" i="12"/>
  <c r="F69" i="12"/>
  <c r="F65" i="12"/>
  <c r="F61" i="12"/>
  <c r="F57" i="12"/>
  <c r="F53" i="12"/>
  <c r="F49" i="12"/>
  <c r="F45" i="12"/>
  <c r="F41" i="12"/>
  <c r="F37" i="12"/>
  <c r="F33" i="12"/>
  <c r="F29" i="12"/>
  <c r="F270" i="12"/>
  <c r="F228" i="12"/>
  <c r="F212" i="12"/>
  <c r="F196" i="12"/>
  <c r="F180" i="12"/>
  <c r="F164" i="12"/>
  <c r="F148" i="12"/>
  <c r="F136" i="12"/>
  <c r="F120" i="12"/>
  <c r="F116" i="12"/>
  <c r="F112" i="12"/>
  <c r="F108" i="12"/>
  <c r="F104" i="12"/>
  <c r="F100" i="12"/>
  <c r="F96" i="12"/>
  <c r="F92" i="12"/>
  <c r="F88" i="12"/>
  <c r="F84" i="12"/>
  <c r="F80" i="12"/>
  <c r="F76" i="12"/>
  <c r="F72" i="12"/>
  <c r="F68" i="12"/>
  <c r="F64" i="12"/>
  <c r="F60" i="12"/>
  <c r="F56" i="12"/>
  <c r="F52" i="12"/>
  <c r="F48" i="12"/>
  <c r="F44" i="12"/>
  <c r="F40" i="12"/>
  <c r="F36" i="12"/>
  <c r="F300" i="12"/>
  <c r="F254" i="12"/>
  <c r="F224" i="12"/>
  <c r="F208" i="12"/>
  <c r="F192" i="12"/>
  <c r="F176" i="12"/>
  <c r="F160" i="12"/>
  <c r="F144" i="12"/>
  <c r="F126" i="12"/>
  <c r="F125" i="12"/>
  <c r="F124" i="12"/>
  <c r="F123" i="12"/>
  <c r="F119" i="12"/>
  <c r="F115" i="12"/>
  <c r="F111" i="12"/>
  <c r="F107" i="12"/>
  <c r="F103" i="12"/>
  <c r="F99" i="12"/>
  <c r="F95" i="12"/>
  <c r="F91" i="12"/>
  <c r="F87" i="12"/>
  <c r="F83" i="12"/>
  <c r="F79" i="12"/>
  <c r="F75" i="12"/>
  <c r="F71" i="12"/>
  <c r="F67" i="12"/>
  <c r="F63" i="12"/>
  <c r="F59" i="12"/>
  <c r="F55" i="12"/>
  <c r="F51" i="12"/>
  <c r="F47" i="12"/>
  <c r="F43" i="12"/>
  <c r="F39" i="12"/>
  <c r="F35" i="12"/>
  <c r="F31" i="12"/>
  <c r="F26" i="12"/>
  <c r="F30" i="12"/>
  <c r="F38" i="12"/>
  <c r="F54" i="12"/>
  <c r="F70" i="12"/>
  <c r="F86" i="12"/>
  <c r="F102" i="12"/>
  <c r="F118" i="12"/>
  <c r="F129" i="12"/>
  <c r="F140" i="12"/>
  <c r="F204" i="12"/>
  <c r="F251" i="12"/>
  <c r="G10" i="11"/>
  <c r="J15" i="12" l="1"/>
  <c r="I15" i="12"/>
  <c r="H16" i="12"/>
  <c r="C10" i="11"/>
  <c r="C45" i="7"/>
  <c r="J16" i="12" l="1"/>
  <c r="I16" i="12"/>
  <c r="H17" i="12"/>
  <c r="F331" i="11"/>
  <c r="F330" i="11"/>
  <c r="F332" i="11"/>
  <c r="F334" i="11"/>
  <c r="F335" i="11"/>
  <c r="F328" i="11"/>
  <c r="F324" i="11"/>
  <c r="F327" i="11"/>
  <c r="F323" i="11"/>
  <c r="F322" i="11"/>
  <c r="F329" i="11"/>
  <c r="F325" i="11"/>
  <c r="F326" i="11"/>
  <c r="F336" i="11"/>
  <c r="F319" i="11"/>
  <c r="F333" i="11"/>
  <c r="F318" i="11"/>
  <c r="F317" i="11"/>
  <c r="F320" i="11"/>
  <c r="F321" i="11"/>
  <c r="F385" i="11"/>
  <c r="D24" i="11"/>
  <c r="B5" i="9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B51" i="9" s="1"/>
  <c r="B52" i="9" s="1"/>
  <c r="B53" i="9" s="1"/>
  <c r="B54" i="9" s="1"/>
  <c r="B55" i="9" s="1"/>
  <c r="B56" i="9" s="1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67" i="9" s="1"/>
  <c r="B68" i="9" s="1"/>
  <c r="B69" i="9" s="1"/>
  <c r="B70" i="9" s="1"/>
  <c r="B71" i="9" s="1"/>
  <c r="B72" i="9" s="1"/>
  <c r="B73" i="9" s="1"/>
  <c r="B74" i="9" s="1"/>
  <c r="B75" i="9" s="1"/>
  <c r="B76" i="9" s="1"/>
  <c r="B77" i="9" s="1"/>
  <c r="B78" i="9" s="1"/>
  <c r="B79" i="9" s="1"/>
  <c r="B80" i="9" s="1"/>
  <c r="B81" i="9" s="1"/>
  <c r="B82" i="9" s="1"/>
  <c r="B83" i="9" s="1"/>
  <c r="B84" i="9" s="1"/>
  <c r="B85" i="9" s="1"/>
  <c r="B86" i="9" s="1"/>
  <c r="B87" i="9" s="1"/>
  <c r="B88" i="9" s="1"/>
  <c r="B89" i="9" s="1"/>
  <c r="B90" i="9" s="1"/>
  <c r="B91" i="9" s="1"/>
  <c r="B92" i="9" s="1"/>
  <c r="B93" i="9" s="1"/>
  <c r="B94" i="9" s="1"/>
  <c r="B95" i="9" s="1"/>
  <c r="B96" i="9" s="1"/>
  <c r="B97" i="9" s="1"/>
  <c r="B98" i="9" s="1"/>
  <c r="B99" i="9" s="1"/>
  <c r="B100" i="9" s="1"/>
  <c r="B101" i="9" s="1"/>
  <c r="B102" i="9" s="1"/>
  <c r="B103" i="9" s="1"/>
  <c r="B104" i="9" s="1"/>
  <c r="B105" i="9" s="1"/>
  <c r="B106" i="9" s="1"/>
  <c r="B107" i="9" s="1"/>
  <c r="B108" i="9" s="1"/>
  <c r="B109" i="9" s="1"/>
  <c r="B110" i="9" s="1"/>
  <c r="B111" i="9" s="1"/>
  <c r="B112" i="9" s="1"/>
  <c r="B113" i="9" s="1"/>
  <c r="B114" i="9" s="1"/>
  <c r="B115" i="9" s="1"/>
  <c r="B116" i="9" s="1"/>
  <c r="B117" i="9" s="1"/>
  <c r="B118" i="9" s="1"/>
  <c r="B119" i="9" s="1"/>
  <c r="B120" i="9" s="1"/>
  <c r="B121" i="9" s="1"/>
  <c r="B122" i="9" s="1"/>
  <c r="B123" i="9" s="1"/>
  <c r="B124" i="9" s="1"/>
  <c r="B125" i="9" s="1"/>
  <c r="B126" i="9" s="1"/>
  <c r="B127" i="9" s="1"/>
  <c r="B128" i="9" s="1"/>
  <c r="B129" i="9" s="1"/>
  <c r="B130" i="9" s="1"/>
  <c r="B131" i="9" s="1"/>
  <c r="B132" i="9" s="1"/>
  <c r="B133" i="9" s="1"/>
  <c r="B134" i="9" s="1"/>
  <c r="B135" i="9" s="1"/>
  <c r="B136" i="9" s="1"/>
  <c r="B137" i="9" s="1"/>
  <c r="B138" i="9" s="1"/>
  <c r="B139" i="9" s="1"/>
  <c r="B140" i="9" s="1"/>
  <c r="B141" i="9" s="1"/>
  <c r="B142" i="9" s="1"/>
  <c r="B143" i="9" s="1"/>
  <c r="B144" i="9" s="1"/>
  <c r="B145" i="9" s="1"/>
  <c r="B146" i="9" s="1"/>
  <c r="B147" i="9" s="1"/>
  <c r="B148" i="9" s="1"/>
  <c r="B149" i="9" s="1"/>
  <c r="B150" i="9" s="1"/>
  <c r="B151" i="9" s="1"/>
  <c r="B152" i="9" s="1"/>
  <c r="B153" i="9" s="1"/>
  <c r="B154" i="9" s="1"/>
  <c r="B155" i="9" s="1"/>
  <c r="B156" i="9" s="1"/>
  <c r="B157" i="9" s="1"/>
  <c r="B158" i="9" s="1"/>
  <c r="B159" i="9" s="1"/>
  <c r="B160" i="9" s="1"/>
  <c r="B161" i="9" s="1"/>
  <c r="B162" i="9" s="1"/>
  <c r="B163" i="9" s="1"/>
  <c r="B164" i="9" s="1"/>
  <c r="B165" i="9" s="1"/>
  <c r="B166" i="9" s="1"/>
  <c r="B167" i="9" s="1"/>
  <c r="B168" i="9" s="1"/>
  <c r="B169" i="9" s="1"/>
  <c r="B170" i="9" s="1"/>
  <c r="B171" i="9" s="1"/>
  <c r="B172" i="9" s="1"/>
  <c r="B173" i="9" s="1"/>
  <c r="B174" i="9" s="1"/>
  <c r="B175" i="9" s="1"/>
  <c r="B176" i="9" s="1"/>
  <c r="B177" i="9" s="1"/>
  <c r="B178" i="9" s="1"/>
  <c r="B179" i="9" s="1"/>
  <c r="B180" i="9" s="1"/>
  <c r="B181" i="9" s="1"/>
  <c r="B182" i="9" s="1"/>
  <c r="B183" i="9" s="1"/>
  <c r="B184" i="9" s="1"/>
  <c r="B185" i="9" s="1"/>
  <c r="B186" i="9" s="1"/>
  <c r="B187" i="9" s="1"/>
  <c r="B188" i="9" s="1"/>
  <c r="B189" i="9" s="1"/>
  <c r="B190" i="9" s="1"/>
  <c r="B191" i="9" s="1"/>
  <c r="B192" i="9" s="1"/>
  <c r="B193" i="9" s="1"/>
  <c r="B194" i="9" s="1"/>
  <c r="B195" i="9" s="1"/>
  <c r="B196" i="9" s="1"/>
  <c r="B197" i="9" s="1"/>
  <c r="B198" i="9" s="1"/>
  <c r="B199" i="9" s="1"/>
  <c r="B200" i="9" s="1"/>
  <c r="B201" i="9" s="1"/>
  <c r="B202" i="9" s="1"/>
  <c r="B203" i="9" s="1"/>
  <c r="B204" i="9" s="1"/>
  <c r="B205" i="9" s="1"/>
  <c r="B206" i="9" s="1"/>
  <c r="B207" i="9" s="1"/>
  <c r="B208" i="9" s="1"/>
  <c r="B209" i="9" s="1"/>
  <c r="B210" i="9" s="1"/>
  <c r="B211" i="9" s="1"/>
  <c r="B212" i="9" s="1"/>
  <c r="B213" i="9" s="1"/>
  <c r="B214" i="9" s="1"/>
  <c r="B215" i="9" s="1"/>
  <c r="B216" i="9" s="1"/>
  <c r="B217" i="9" s="1"/>
  <c r="B218" i="9" s="1"/>
  <c r="B219" i="9" s="1"/>
  <c r="B220" i="9" s="1"/>
  <c r="B221" i="9" s="1"/>
  <c r="B222" i="9" s="1"/>
  <c r="B223" i="9" s="1"/>
  <c r="B224" i="9" s="1"/>
  <c r="B225" i="9" s="1"/>
  <c r="B226" i="9" s="1"/>
  <c r="B227" i="9" s="1"/>
  <c r="B228" i="9" s="1"/>
  <c r="B229" i="9" s="1"/>
  <c r="B230" i="9" s="1"/>
  <c r="B231" i="9" s="1"/>
  <c r="B232" i="9" s="1"/>
  <c r="B233" i="9" s="1"/>
  <c r="B234" i="9" s="1"/>
  <c r="B235" i="9" s="1"/>
  <c r="B236" i="9" s="1"/>
  <c r="B237" i="9" s="1"/>
  <c r="B238" i="9" s="1"/>
  <c r="B239" i="9" s="1"/>
  <c r="B240" i="9" s="1"/>
  <c r="B241" i="9" s="1"/>
  <c r="B242" i="9" s="1"/>
  <c r="B243" i="9" s="1"/>
  <c r="B244" i="9" s="1"/>
  <c r="B245" i="9" s="1"/>
  <c r="B246" i="9" s="1"/>
  <c r="B247" i="9" s="1"/>
  <c r="B248" i="9" s="1"/>
  <c r="B249" i="9" s="1"/>
  <c r="B250" i="9" s="1"/>
  <c r="B251" i="9" s="1"/>
  <c r="B252" i="9" s="1"/>
  <c r="B253" i="9" s="1"/>
  <c r="B254" i="9" s="1"/>
  <c r="B255" i="9" s="1"/>
  <c r="B256" i="9" s="1"/>
  <c r="B257" i="9" s="1"/>
  <c r="B258" i="9" s="1"/>
  <c r="B259" i="9" s="1"/>
  <c r="B260" i="9" s="1"/>
  <c r="B261" i="9" s="1"/>
  <c r="B262" i="9" s="1"/>
  <c r="B263" i="9" s="1"/>
  <c r="B264" i="9" s="1"/>
  <c r="B265" i="9" s="1"/>
  <c r="B266" i="9" s="1"/>
  <c r="B267" i="9" s="1"/>
  <c r="B268" i="9" s="1"/>
  <c r="B269" i="9" s="1"/>
  <c r="B270" i="9" s="1"/>
  <c r="B271" i="9" s="1"/>
  <c r="B272" i="9" s="1"/>
  <c r="B273" i="9" s="1"/>
  <c r="B274" i="9" s="1"/>
  <c r="B275" i="9" s="1"/>
  <c r="B276" i="9" s="1"/>
  <c r="B277" i="9" s="1"/>
  <c r="B278" i="9" s="1"/>
  <c r="B279" i="9" s="1"/>
  <c r="B280" i="9" s="1"/>
  <c r="B281" i="9" s="1"/>
  <c r="B282" i="9" s="1"/>
  <c r="B283" i="9" s="1"/>
  <c r="B284" i="9" s="1"/>
  <c r="B285" i="9" s="1"/>
  <c r="B286" i="9" s="1"/>
  <c r="B287" i="9" s="1"/>
  <c r="B288" i="9" s="1"/>
  <c r="B289" i="9" s="1"/>
  <c r="B290" i="9" s="1"/>
  <c r="B291" i="9" s="1"/>
  <c r="B292" i="9" s="1"/>
  <c r="B293" i="9" s="1"/>
  <c r="B294" i="9" s="1"/>
  <c r="B295" i="9" s="1"/>
  <c r="B296" i="9" s="1"/>
  <c r="B297" i="9" s="1"/>
  <c r="B298" i="9" s="1"/>
  <c r="B299" i="9" s="1"/>
  <c r="B300" i="9" s="1"/>
  <c r="B301" i="9" s="1"/>
  <c r="B302" i="9" s="1"/>
  <c r="B303" i="9" s="1"/>
  <c r="B304" i="9" s="1"/>
  <c r="B305" i="9" s="1"/>
  <c r="B306" i="9" s="1"/>
  <c r="B307" i="9" s="1"/>
  <c r="B308" i="9" s="1"/>
  <c r="B309" i="9" s="1"/>
  <c r="B310" i="9" s="1"/>
  <c r="B311" i="9" s="1"/>
  <c r="B312" i="9" s="1"/>
  <c r="B313" i="9" s="1"/>
  <c r="B314" i="9" s="1"/>
  <c r="B315" i="9" s="1"/>
  <c r="B316" i="9" s="1"/>
  <c r="B317" i="9" s="1"/>
  <c r="B318" i="9" s="1"/>
  <c r="B319" i="9" s="1"/>
  <c r="B320" i="9" s="1"/>
  <c r="B321" i="9" s="1"/>
  <c r="B322" i="9" s="1"/>
  <c r="B323" i="9" s="1"/>
  <c r="B324" i="9" s="1"/>
  <c r="B325" i="9" s="1"/>
  <c r="B326" i="9" s="1"/>
  <c r="B327" i="9" s="1"/>
  <c r="B328" i="9" s="1"/>
  <c r="B329" i="9" s="1"/>
  <c r="B330" i="9" s="1"/>
  <c r="B331" i="9" s="1"/>
  <c r="B332" i="9" s="1"/>
  <c r="B333" i="9" s="1"/>
  <c r="B334" i="9" s="1"/>
  <c r="B335" i="9" s="1"/>
  <c r="B336" i="9" s="1"/>
  <c r="B337" i="9" s="1"/>
  <c r="B338" i="9" s="1"/>
  <c r="B339" i="9" s="1"/>
  <c r="B340" i="9" s="1"/>
  <c r="B341" i="9" s="1"/>
  <c r="B342" i="9" s="1"/>
  <c r="B343" i="9" s="1"/>
  <c r="B344" i="9" s="1"/>
  <c r="B345" i="9" s="1"/>
  <c r="B346" i="9" s="1"/>
  <c r="B347" i="9" s="1"/>
  <c r="B348" i="9" s="1"/>
  <c r="B349" i="9" s="1"/>
  <c r="B350" i="9" s="1"/>
  <c r="B351" i="9" s="1"/>
  <c r="B352" i="9" s="1"/>
  <c r="B353" i="9" s="1"/>
  <c r="B354" i="9" s="1"/>
  <c r="B355" i="9" s="1"/>
  <c r="B356" i="9" s="1"/>
  <c r="B357" i="9" s="1"/>
  <c r="B358" i="9" s="1"/>
  <c r="B359" i="9" s="1"/>
  <c r="B360" i="9" s="1"/>
  <c r="B361" i="9" s="1"/>
  <c r="B362" i="9" s="1"/>
  <c r="B363" i="9" s="1"/>
  <c r="B364" i="9" s="1"/>
  <c r="B365" i="9" s="1"/>
  <c r="B366" i="9" s="1"/>
  <c r="B367" i="9" s="1"/>
  <c r="B368" i="9" s="1"/>
  <c r="B369" i="9" s="1"/>
  <c r="B370" i="9" s="1"/>
  <c r="B371" i="9" s="1"/>
  <c r="B372" i="9" s="1"/>
  <c r="B373" i="9" s="1"/>
  <c r="J17" i="12" l="1"/>
  <c r="I17" i="12"/>
  <c r="H18" i="12"/>
  <c r="D25" i="11"/>
  <c r="D26" i="11" s="1"/>
  <c r="D27" i="11" s="1"/>
  <c r="D28" i="11" s="1"/>
  <c r="D29" i="11" s="1"/>
  <c r="D30" i="11" s="1"/>
  <c r="D31" i="11" s="1"/>
  <c r="D32" i="11" s="1"/>
  <c r="D33" i="11" s="1"/>
  <c r="D34" i="11" s="1"/>
  <c r="D35" i="11" s="1"/>
  <c r="D36" i="11" s="1"/>
  <c r="D37" i="11" s="1"/>
  <c r="D38" i="11" s="1"/>
  <c r="D39" i="11" s="1"/>
  <c r="D40" i="11" s="1"/>
  <c r="D41" i="11" s="1"/>
  <c r="D42" i="11" s="1"/>
  <c r="D43" i="11" s="1"/>
  <c r="D44" i="11" s="1"/>
  <c r="D45" i="11" s="1"/>
  <c r="D46" i="11" s="1"/>
  <c r="D47" i="11" s="1"/>
  <c r="D48" i="11" s="1"/>
  <c r="D49" i="11" s="1"/>
  <c r="D50" i="11" s="1"/>
  <c r="D51" i="11" s="1"/>
  <c r="D52" i="11" s="1"/>
  <c r="D53" i="11" s="1"/>
  <c r="D54" i="11" s="1"/>
  <c r="D55" i="11" s="1"/>
  <c r="D56" i="11" s="1"/>
  <c r="D57" i="11" s="1"/>
  <c r="D58" i="11" s="1"/>
  <c r="D59" i="11" s="1"/>
  <c r="D60" i="11" s="1"/>
  <c r="D61" i="11" s="1"/>
  <c r="D62" i="11" s="1"/>
  <c r="D63" i="11" s="1"/>
  <c r="D64" i="11" s="1"/>
  <c r="D65" i="11" s="1"/>
  <c r="D66" i="11" s="1"/>
  <c r="D67" i="11" s="1"/>
  <c r="D68" i="11" s="1"/>
  <c r="D69" i="11" s="1"/>
  <c r="D70" i="11" s="1"/>
  <c r="D71" i="11" s="1"/>
  <c r="D72" i="11" s="1"/>
  <c r="D73" i="11" s="1"/>
  <c r="D74" i="11" s="1"/>
  <c r="D75" i="11" s="1"/>
  <c r="D76" i="11" s="1"/>
  <c r="D77" i="11" s="1"/>
  <c r="D78" i="11" s="1"/>
  <c r="D79" i="11" s="1"/>
  <c r="D80" i="11" s="1"/>
  <c r="D81" i="11" s="1"/>
  <c r="D82" i="11" s="1"/>
  <c r="D83" i="11" s="1"/>
  <c r="D84" i="11" s="1"/>
  <c r="D85" i="11" s="1"/>
  <c r="D86" i="11" s="1"/>
  <c r="D87" i="11" s="1"/>
  <c r="D88" i="11" s="1"/>
  <c r="D89" i="11" s="1"/>
  <c r="D90" i="11" s="1"/>
  <c r="D91" i="11" s="1"/>
  <c r="D92" i="11" s="1"/>
  <c r="D93" i="11" s="1"/>
  <c r="D94" i="11" s="1"/>
  <c r="D95" i="11" s="1"/>
  <c r="D96" i="11" s="1"/>
  <c r="D97" i="11" s="1"/>
  <c r="D98" i="11" s="1"/>
  <c r="D99" i="11" s="1"/>
  <c r="D100" i="11" s="1"/>
  <c r="D101" i="11" s="1"/>
  <c r="D102" i="11" s="1"/>
  <c r="D103" i="11" s="1"/>
  <c r="D104" i="11" s="1"/>
  <c r="D105" i="11" s="1"/>
  <c r="D106" i="11" s="1"/>
  <c r="D107" i="11" s="1"/>
  <c r="D108" i="11" s="1"/>
  <c r="D109" i="11" s="1"/>
  <c r="D110" i="11" s="1"/>
  <c r="D111" i="11" s="1"/>
  <c r="D112" i="11" s="1"/>
  <c r="D113" i="11" s="1"/>
  <c r="D114" i="11" s="1"/>
  <c r="D115" i="11" s="1"/>
  <c r="D116" i="11" s="1"/>
  <c r="D117" i="11" s="1"/>
  <c r="D118" i="11" s="1"/>
  <c r="D119" i="11" s="1"/>
  <c r="D120" i="11" s="1"/>
  <c r="D121" i="11" s="1"/>
  <c r="D122" i="11" s="1"/>
  <c r="D123" i="11" s="1"/>
  <c r="D124" i="11" s="1"/>
  <c r="D125" i="11" s="1"/>
  <c r="D126" i="11" s="1"/>
  <c r="D127" i="11" s="1"/>
  <c r="D128" i="11" s="1"/>
  <c r="D129" i="11" s="1"/>
  <c r="D130" i="11" s="1"/>
  <c r="D131" i="11" s="1"/>
  <c r="D132" i="11" s="1"/>
  <c r="D133" i="11" s="1"/>
  <c r="D134" i="11" s="1"/>
  <c r="D135" i="11" s="1"/>
  <c r="D136" i="11" s="1"/>
  <c r="D137" i="11" s="1"/>
  <c r="D138" i="11" s="1"/>
  <c r="D139" i="11" s="1"/>
  <c r="D140" i="11" s="1"/>
  <c r="D141" i="11" s="1"/>
  <c r="D142" i="11" s="1"/>
  <c r="D143" i="11" s="1"/>
  <c r="D144" i="11" s="1"/>
  <c r="D145" i="11" s="1"/>
  <c r="D146" i="11" s="1"/>
  <c r="D147" i="11" s="1"/>
  <c r="D148" i="11" s="1"/>
  <c r="D149" i="11" s="1"/>
  <c r="D150" i="11" s="1"/>
  <c r="D151" i="11" s="1"/>
  <c r="D152" i="11" s="1"/>
  <c r="D153" i="11" s="1"/>
  <c r="D154" i="11" s="1"/>
  <c r="D155" i="11" s="1"/>
  <c r="D156" i="11" s="1"/>
  <c r="D157" i="11" s="1"/>
  <c r="D158" i="11" s="1"/>
  <c r="D159" i="11" s="1"/>
  <c r="D160" i="11" s="1"/>
  <c r="D161" i="11" s="1"/>
  <c r="D162" i="11" s="1"/>
  <c r="D163" i="11" s="1"/>
  <c r="D164" i="11" s="1"/>
  <c r="D165" i="11" s="1"/>
  <c r="D166" i="11" s="1"/>
  <c r="D167" i="11" s="1"/>
  <c r="D168" i="11" s="1"/>
  <c r="D169" i="11" s="1"/>
  <c r="D170" i="11" s="1"/>
  <c r="D171" i="11" s="1"/>
  <c r="D172" i="11" s="1"/>
  <c r="D173" i="11" s="1"/>
  <c r="D174" i="11" s="1"/>
  <c r="D175" i="11" s="1"/>
  <c r="D176" i="11" s="1"/>
  <c r="D177" i="11" s="1"/>
  <c r="D178" i="11" s="1"/>
  <c r="D179" i="11" s="1"/>
  <c r="D180" i="11" s="1"/>
  <c r="D181" i="11" s="1"/>
  <c r="D182" i="11" s="1"/>
  <c r="D183" i="11" s="1"/>
  <c r="D184" i="11" s="1"/>
  <c r="D185" i="11" s="1"/>
  <c r="D186" i="11" s="1"/>
  <c r="D187" i="11" s="1"/>
  <c r="D188" i="11" s="1"/>
  <c r="D189" i="11" s="1"/>
  <c r="D190" i="11" s="1"/>
  <c r="D191" i="11" s="1"/>
  <c r="D192" i="11" s="1"/>
  <c r="D193" i="11" s="1"/>
  <c r="D194" i="11" s="1"/>
  <c r="D195" i="11" s="1"/>
  <c r="D196" i="11" s="1"/>
  <c r="D197" i="11" s="1"/>
  <c r="D198" i="11" s="1"/>
  <c r="D199" i="11" s="1"/>
  <c r="D200" i="11" s="1"/>
  <c r="D201" i="11" s="1"/>
  <c r="D202" i="11" s="1"/>
  <c r="D203" i="11" s="1"/>
  <c r="D204" i="11" s="1"/>
  <c r="D205" i="11" s="1"/>
  <c r="D206" i="11" s="1"/>
  <c r="D207" i="11" s="1"/>
  <c r="D208" i="11" s="1"/>
  <c r="D209" i="11" s="1"/>
  <c r="D210" i="11" s="1"/>
  <c r="D211" i="11" s="1"/>
  <c r="D212" i="11" s="1"/>
  <c r="D213" i="11" s="1"/>
  <c r="D214" i="11" s="1"/>
  <c r="D215" i="11" s="1"/>
  <c r="D216" i="11" s="1"/>
  <c r="D217" i="11" s="1"/>
  <c r="D218" i="11" s="1"/>
  <c r="D219" i="11" s="1"/>
  <c r="D220" i="11" s="1"/>
  <c r="D221" i="11" s="1"/>
  <c r="D222" i="11" s="1"/>
  <c r="D223" i="11" s="1"/>
  <c r="D224" i="11" s="1"/>
  <c r="D225" i="11" s="1"/>
  <c r="D226" i="11" s="1"/>
  <c r="D227" i="11" s="1"/>
  <c r="D228" i="11" s="1"/>
  <c r="D229" i="11" s="1"/>
  <c r="D230" i="11" s="1"/>
  <c r="D231" i="11" s="1"/>
  <c r="D232" i="11" s="1"/>
  <c r="D233" i="11" s="1"/>
  <c r="D234" i="11" s="1"/>
  <c r="D235" i="11" s="1"/>
  <c r="D236" i="11" s="1"/>
  <c r="D237" i="11" s="1"/>
  <c r="D238" i="11" s="1"/>
  <c r="D239" i="11" s="1"/>
  <c r="D240" i="11" s="1"/>
  <c r="D241" i="11" s="1"/>
  <c r="D242" i="11" s="1"/>
  <c r="D243" i="11" s="1"/>
  <c r="D244" i="11" s="1"/>
  <c r="D245" i="11" s="1"/>
  <c r="D246" i="11" s="1"/>
  <c r="D247" i="11" s="1"/>
  <c r="D248" i="11" s="1"/>
  <c r="D249" i="11" s="1"/>
  <c r="D250" i="11" s="1"/>
  <c r="D251" i="11" s="1"/>
  <c r="D252" i="11" s="1"/>
  <c r="D253" i="11" s="1"/>
  <c r="D254" i="11" s="1"/>
  <c r="D255" i="11" s="1"/>
  <c r="D256" i="11" s="1"/>
  <c r="D257" i="11" s="1"/>
  <c r="D258" i="11" s="1"/>
  <c r="D259" i="11" s="1"/>
  <c r="D260" i="11" s="1"/>
  <c r="D261" i="11" s="1"/>
  <c r="D262" i="11" s="1"/>
  <c r="D263" i="11" s="1"/>
  <c r="D264" i="11" s="1"/>
  <c r="D265" i="11" s="1"/>
  <c r="D266" i="11" s="1"/>
  <c r="D267" i="11" s="1"/>
  <c r="D268" i="11" s="1"/>
  <c r="D269" i="11" s="1"/>
  <c r="D270" i="11" s="1"/>
  <c r="D271" i="11" s="1"/>
  <c r="D272" i="11" s="1"/>
  <c r="D273" i="11" s="1"/>
  <c r="D274" i="11" s="1"/>
  <c r="D275" i="11" s="1"/>
  <c r="D276" i="11" s="1"/>
  <c r="D277" i="11" s="1"/>
  <c r="D278" i="11" s="1"/>
  <c r="D279" i="11" s="1"/>
  <c r="D280" i="11" s="1"/>
  <c r="D281" i="11" s="1"/>
  <c r="D282" i="11" s="1"/>
  <c r="D283" i="11" s="1"/>
  <c r="D284" i="11" s="1"/>
  <c r="D285" i="11" s="1"/>
  <c r="D286" i="11" s="1"/>
  <c r="D287" i="11" s="1"/>
  <c r="D288" i="11" s="1"/>
  <c r="D289" i="11" s="1"/>
  <c r="D290" i="11" s="1"/>
  <c r="D291" i="11" s="1"/>
  <c r="D292" i="11" s="1"/>
  <c r="D293" i="11" s="1"/>
  <c r="D294" i="11" s="1"/>
  <c r="D295" i="11" s="1"/>
  <c r="D296" i="11" s="1"/>
  <c r="D297" i="11" s="1"/>
  <c r="D298" i="11" s="1"/>
  <c r="D299" i="11" s="1"/>
  <c r="D300" i="11" s="1"/>
  <c r="D301" i="11" s="1"/>
  <c r="D302" i="11" s="1"/>
  <c r="D303" i="11" s="1"/>
  <c r="D304" i="11" s="1"/>
  <c r="D305" i="11" s="1"/>
  <c r="D306" i="11" s="1"/>
  <c r="D307" i="11" s="1"/>
  <c r="D308" i="11" s="1"/>
  <c r="D309" i="11" s="1"/>
  <c r="D310" i="11" s="1"/>
  <c r="D311" i="11" s="1"/>
  <c r="D312" i="11" s="1"/>
  <c r="D313" i="11" s="1"/>
  <c r="D314" i="11" s="1"/>
  <c r="D315" i="11" s="1"/>
  <c r="D316" i="11" s="1"/>
  <c r="D317" i="11" s="1"/>
  <c r="D318" i="11" s="1"/>
  <c r="D319" i="11" s="1"/>
  <c r="D320" i="11" s="1"/>
  <c r="D321" i="11" s="1"/>
  <c r="D322" i="11" s="1"/>
  <c r="D323" i="11" s="1"/>
  <c r="D324" i="11" s="1"/>
  <c r="D325" i="11" s="1"/>
  <c r="D326" i="11" s="1"/>
  <c r="D327" i="11" s="1"/>
  <c r="D328" i="11" s="1"/>
  <c r="D329" i="11" s="1"/>
  <c r="D330" i="11" s="1"/>
  <c r="D331" i="11" s="1"/>
  <c r="D332" i="11" s="1"/>
  <c r="D333" i="11" s="1"/>
  <c r="D334" i="11" s="1"/>
  <c r="D335" i="11" s="1"/>
  <c r="D336" i="11" s="1"/>
  <c r="D337" i="11" s="1"/>
  <c r="D338" i="11" s="1"/>
  <c r="D339" i="11" s="1"/>
  <c r="D340" i="11" s="1"/>
  <c r="D341" i="11" s="1"/>
  <c r="D342" i="11" s="1"/>
  <c r="D343" i="11" s="1"/>
  <c r="D349" i="11" s="1"/>
  <c r="D350" i="11" s="1"/>
  <c r="D351" i="11" s="1"/>
  <c r="D352" i="11" s="1"/>
  <c r="D353" i="11" s="1"/>
  <c r="D354" i="11" s="1"/>
  <c r="D355" i="11" s="1"/>
  <c r="D356" i="11" s="1"/>
  <c r="D357" i="11" s="1"/>
  <c r="D358" i="11" s="1"/>
  <c r="D359" i="11" s="1"/>
  <c r="D360" i="11" s="1"/>
  <c r="D361" i="11" s="1"/>
  <c r="D362" i="11" s="1"/>
  <c r="D363" i="11" s="1"/>
  <c r="D364" i="11" s="1"/>
  <c r="D365" i="11" s="1"/>
  <c r="D366" i="11" s="1"/>
  <c r="D367" i="11" s="1"/>
  <c r="D368" i="11" s="1"/>
  <c r="D369" i="11" s="1"/>
  <c r="D370" i="11" s="1"/>
  <c r="D371" i="11" s="1"/>
  <c r="D372" i="11" s="1"/>
  <c r="D373" i="11" s="1"/>
  <c r="D374" i="11" s="1"/>
  <c r="D375" i="11" s="1"/>
  <c r="D376" i="11" s="1"/>
  <c r="D377" i="11" s="1"/>
  <c r="D378" i="11" s="1"/>
  <c r="D379" i="11" s="1"/>
  <c r="D380" i="11" s="1"/>
  <c r="D381" i="11" s="1"/>
  <c r="D382" i="11" s="1"/>
  <c r="D383" i="11" s="1"/>
  <c r="D384" i="11" s="1"/>
  <c r="F391" i="11"/>
  <c r="F390" i="11"/>
  <c r="F348" i="11"/>
  <c r="F347" i="11"/>
  <c r="F346" i="11"/>
  <c r="F345" i="11"/>
  <c r="F22" i="11"/>
  <c r="F21" i="11"/>
  <c r="F20" i="11"/>
  <c r="F19" i="11"/>
  <c r="F16" i="11"/>
  <c r="F15" i="11"/>
  <c r="H14" i="11"/>
  <c r="J14" i="11" s="1"/>
  <c r="F14" i="11"/>
  <c r="H13" i="11"/>
  <c r="K6" i="11" s="1"/>
  <c r="J18" i="12" l="1"/>
  <c r="I18" i="12"/>
  <c r="H19" i="12"/>
  <c r="K9" i="11"/>
  <c r="I14" i="11"/>
  <c r="I13" i="11"/>
  <c r="F67" i="11"/>
  <c r="F71" i="11"/>
  <c r="F75" i="11"/>
  <c r="F65" i="11"/>
  <c r="F69" i="11"/>
  <c r="F73" i="11"/>
  <c r="F66" i="11"/>
  <c r="F64" i="11"/>
  <c r="F68" i="11"/>
  <c r="F72" i="11"/>
  <c r="F70" i="11"/>
  <c r="F74" i="11"/>
  <c r="L380" i="11"/>
  <c r="F382" i="11"/>
  <c r="F381" i="11"/>
  <c r="F380" i="11"/>
  <c r="F379" i="11"/>
  <c r="F389" i="11"/>
  <c r="F378" i="11"/>
  <c r="F377" i="11"/>
  <c r="F376" i="11"/>
  <c r="F375" i="11"/>
  <c r="F374" i="11"/>
  <c r="F373" i="11"/>
  <c r="F372" i="11"/>
  <c r="F371" i="11"/>
  <c r="F370" i="11"/>
  <c r="F369" i="11"/>
  <c r="F368" i="11"/>
  <c r="F367" i="11"/>
  <c r="F366" i="11"/>
  <c r="F365" i="11"/>
  <c r="F364" i="11"/>
  <c r="F363" i="11"/>
  <c r="F362" i="11"/>
  <c r="F361" i="11"/>
  <c r="F360" i="11"/>
  <c r="F359" i="11"/>
  <c r="F358" i="11"/>
  <c r="F357" i="11"/>
  <c r="F356" i="11"/>
  <c r="F355" i="11"/>
  <c r="F354" i="11"/>
  <c r="F353" i="11"/>
  <c r="F352" i="11"/>
  <c r="F351" i="11"/>
  <c r="F350" i="11"/>
  <c r="F349" i="11"/>
  <c r="F344" i="11"/>
  <c r="F343" i="11"/>
  <c r="F342" i="11"/>
  <c r="F341" i="11"/>
  <c r="F340" i="11"/>
  <c r="F339" i="11"/>
  <c r="F338" i="11"/>
  <c r="F337" i="11"/>
  <c r="F316" i="11"/>
  <c r="F315" i="11"/>
  <c r="F314" i="11"/>
  <c r="F313" i="11"/>
  <c r="F383" i="11"/>
  <c r="F386" i="11"/>
  <c r="F384" i="11"/>
  <c r="F312" i="11"/>
  <c r="F311" i="11"/>
  <c r="F310" i="11"/>
  <c r="F309" i="11"/>
  <c r="F308" i="11"/>
  <c r="F307" i="11"/>
  <c r="F306" i="11"/>
  <c r="F305" i="11"/>
  <c r="F304" i="11"/>
  <c r="F303" i="11"/>
  <c r="F302" i="11"/>
  <c r="F301" i="11"/>
  <c r="F300" i="11"/>
  <c r="F299" i="11"/>
  <c r="F298" i="11"/>
  <c r="F297" i="11"/>
  <c r="F296" i="11"/>
  <c r="F295" i="11"/>
  <c r="F294" i="11"/>
  <c r="F293" i="11"/>
  <c r="F292" i="11"/>
  <c r="F291" i="11"/>
  <c r="F290" i="11"/>
  <c r="F289" i="11"/>
  <c r="F288" i="11"/>
  <c r="F287" i="11"/>
  <c r="F286" i="11"/>
  <c r="F285" i="11"/>
  <c r="F284" i="11"/>
  <c r="F283" i="11"/>
  <c r="F282" i="11"/>
  <c r="F281" i="11"/>
  <c r="F280" i="11"/>
  <c r="F279" i="11"/>
  <c r="F278" i="11"/>
  <c r="F277" i="11"/>
  <c r="F276" i="11"/>
  <c r="F275" i="11"/>
  <c r="F274" i="11"/>
  <c r="F273" i="11"/>
  <c r="F272" i="11"/>
  <c r="F271" i="11"/>
  <c r="F270" i="11"/>
  <c r="F269" i="11"/>
  <c r="F268" i="11"/>
  <c r="F267" i="11"/>
  <c r="F266" i="11"/>
  <c r="F265" i="11"/>
  <c r="F264" i="11"/>
  <c r="F263" i="11"/>
  <c r="F262" i="11"/>
  <c r="F261" i="11"/>
  <c r="F260" i="11"/>
  <c r="F259" i="11"/>
  <c r="F258" i="11"/>
  <c r="F257" i="11"/>
  <c r="F256" i="11"/>
  <c r="F255" i="11"/>
  <c r="F254" i="11"/>
  <c r="F253" i="11"/>
  <c r="F252" i="11"/>
  <c r="F251" i="11"/>
  <c r="F250" i="11"/>
  <c r="F249" i="11"/>
  <c r="F248" i="11"/>
  <c r="F247" i="11"/>
  <c r="F246" i="11"/>
  <c r="F245" i="11"/>
  <c r="F244" i="11"/>
  <c r="F243" i="11"/>
  <c r="F242" i="11"/>
  <c r="F241" i="11"/>
  <c r="F240" i="11"/>
  <c r="F239" i="11"/>
  <c r="F238" i="11"/>
  <c r="F237" i="11"/>
  <c r="F236" i="11"/>
  <c r="F235" i="11"/>
  <c r="F234" i="11"/>
  <c r="F233" i="11"/>
  <c r="F232" i="11"/>
  <c r="F231" i="11"/>
  <c r="F230" i="11"/>
  <c r="F229" i="11"/>
  <c r="F228" i="11"/>
  <c r="F227" i="11"/>
  <c r="F226" i="11"/>
  <c r="F225" i="11"/>
  <c r="F224" i="11"/>
  <c r="F202" i="11"/>
  <c r="F201" i="11"/>
  <c r="F200" i="11"/>
  <c r="F199" i="11"/>
  <c r="F198" i="11"/>
  <c r="F197" i="11"/>
  <c r="F196" i="11"/>
  <c r="F195" i="11"/>
  <c r="F194" i="11"/>
  <c r="F193" i="11"/>
  <c r="F192" i="11"/>
  <c r="F191" i="11"/>
  <c r="F190" i="11"/>
  <c r="F189" i="11"/>
  <c r="F188" i="11"/>
  <c r="F187" i="11"/>
  <c r="F186" i="11"/>
  <c r="F185" i="11"/>
  <c r="F184" i="11"/>
  <c r="F183" i="11"/>
  <c r="F182" i="11"/>
  <c r="F181" i="11"/>
  <c r="F180" i="11"/>
  <c r="F179" i="11"/>
  <c r="F178" i="11"/>
  <c r="F177" i="11"/>
  <c r="F176" i="11"/>
  <c r="F175" i="11"/>
  <c r="F174" i="11"/>
  <c r="F173" i="11"/>
  <c r="F172" i="11"/>
  <c r="F171" i="11"/>
  <c r="F170" i="11"/>
  <c r="F169" i="11"/>
  <c r="F168" i="11"/>
  <c r="F167" i="11"/>
  <c r="F166" i="11"/>
  <c r="F165" i="11"/>
  <c r="F164" i="11"/>
  <c r="F163" i="11"/>
  <c r="F162" i="11"/>
  <c r="F161" i="11"/>
  <c r="F160" i="11"/>
  <c r="F159" i="11"/>
  <c r="F158" i="11"/>
  <c r="F157" i="11"/>
  <c r="F156" i="11"/>
  <c r="F155" i="11"/>
  <c r="F154" i="11"/>
  <c r="F153" i="11"/>
  <c r="F152" i="11"/>
  <c r="F151" i="11"/>
  <c r="F150" i="11"/>
  <c r="F149" i="11"/>
  <c r="F148" i="11"/>
  <c r="F147" i="11"/>
  <c r="F146" i="11"/>
  <c r="F145" i="11"/>
  <c r="F223" i="11"/>
  <c r="F221" i="11"/>
  <c r="F219" i="11"/>
  <c r="F217" i="11"/>
  <c r="F215" i="11"/>
  <c r="F213" i="11"/>
  <c r="F211" i="11"/>
  <c r="F209" i="11"/>
  <c r="F207" i="11"/>
  <c r="F205" i="11"/>
  <c r="F203" i="11"/>
  <c r="F222" i="11"/>
  <c r="F214" i="11"/>
  <c r="F206" i="11"/>
  <c r="F220" i="11"/>
  <c r="F212" i="11"/>
  <c r="F204" i="11"/>
  <c r="F144" i="11"/>
  <c r="F142" i="11"/>
  <c r="F140" i="11"/>
  <c r="F139" i="11"/>
  <c r="F138" i="11"/>
  <c r="F137" i="11"/>
  <c r="F136" i="11"/>
  <c r="F135" i="11"/>
  <c r="F134" i="11"/>
  <c r="F133" i="11"/>
  <c r="F132" i="11"/>
  <c r="F131" i="11"/>
  <c r="F130" i="11"/>
  <c r="F129" i="11"/>
  <c r="F128" i="11"/>
  <c r="F127" i="11"/>
  <c r="F126" i="11"/>
  <c r="F125" i="11"/>
  <c r="F124" i="11"/>
  <c r="F123" i="11"/>
  <c r="F122" i="11"/>
  <c r="F121" i="11"/>
  <c r="F120" i="11"/>
  <c r="F119" i="11"/>
  <c r="F118" i="11"/>
  <c r="F117" i="11"/>
  <c r="F116" i="11"/>
  <c r="F115" i="11"/>
  <c r="F114" i="11"/>
  <c r="F113" i="11"/>
  <c r="F112" i="11"/>
  <c r="F111" i="11"/>
  <c r="F110" i="11"/>
  <c r="F109" i="11"/>
  <c r="F108" i="11"/>
  <c r="F107" i="11"/>
  <c r="F106" i="11"/>
  <c r="F105" i="11"/>
  <c r="F104" i="11"/>
  <c r="F103" i="11"/>
  <c r="F102" i="11"/>
  <c r="F101" i="11"/>
  <c r="F100" i="11"/>
  <c r="F99" i="11"/>
  <c r="F98" i="11"/>
  <c r="F97" i="11"/>
  <c r="F96" i="11"/>
  <c r="F95" i="11"/>
  <c r="F94" i="11"/>
  <c r="F93" i="11"/>
  <c r="F92" i="11"/>
  <c r="F91" i="11"/>
  <c r="F90" i="11"/>
  <c r="F89" i="11"/>
  <c r="F88" i="11"/>
  <c r="F87" i="11"/>
  <c r="F86" i="11"/>
  <c r="F85" i="11"/>
  <c r="F84" i="11"/>
  <c r="F83" i="11"/>
  <c r="F82" i="11"/>
  <c r="F81" i="11"/>
  <c r="F80" i="11"/>
  <c r="F79" i="11"/>
  <c r="F78" i="11"/>
  <c r="F77" i="11"/>
  <c r="F76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387" i="11"/>
  <c r="F216" i="11"/>
  <c r="F143" i="11"/>
  <c r="F141" i="11"/>
  <c r="F218" i="11"/>
  <c r="F210" i="11"/>
  <c r="F208" i="11"/>
  <c r="F18" i="11"/>
  <c r="F24" i="11"/>
  <c r="F26" i="11"/>
  <c r="F17" i="11"/>
  <c r="F23" i="11"/>
  <c r="F25" i="11"/>
  <c r="F27" i="11"/>
  <c r="H15" i="11"/>
  <c r="J19" i="12" l="1"/>
  <c r="I19" i="12"/>
  <c r="H20" i="12"/>
  <c r="J15" i="11"/>
  <c r="H16" i="11"/>
  <c r="I15" i="11"/>
  <c r="L27" i="12" l="1"/>
  <c r="K27" i="12"/>
  <c r="J20" i="12"/>
  <c r="I20" i="12"/>
  <c r="H21" i="12"/>
  <c r="I16" i="11"/>
  <c r="H17" i="11"/>
  <c r="J16" i="11"/>
  <c r="J21" i="12" l="1"/>
  <c r="I21" i="12"/>
  <c r="H22" i="12"/>
  <c r="H18" i="11"/>
  <c r="I17" i="11"/>
  <c r="J17" i="11"/>
  <c r="J22" i="12" l="1"/>
  <c r="I22" i="12"/>
  <c r="H23" i="12"/>
  <c r="H19" i="11"/>
  <c r="I18" i="11"/>
  <c r="J18" i="11"/>
  <c r="J23" i="12" l="1"/>
  <c r="H24" i="12"/>
  <c r="I23" i="12"/>
  <c r="H20" i="11"/>
  <c r="I19" i="11"/>
  <c r="J19" i="11"/>
  <c r="H25" i="12" l="1"/>
  <c r="I24" i="12"/>
  <c r="J24" i="12"/>
  <c r="H21" i="11"/>
  <c r="I20" i="11"/>
  <c r="J20" i="11"/>
  <c r="L27" i="11"/>
  <c r="K27" i="11"/>
  <c r="J25" i="12" l="1"/>
  <c r="H26" i="12"/>
  <c r="I25" i="12"/>
  <c r="H22" i="11"/>
  <c r="I21" i="11"/>
  <c r="J21" i="11"/>
  <c r="J26" i="12" l="1"/>
  <c r="H27" i="12"/>
  <c r="I26" i="12"/>
  <c r="I22" i="11"/>
  <c r="H23" i="11"/>
  <c r="J22" i="11"/>
  <c r="H28" i="12" l="1"/>
  <c r="J27" i="12"/>
  <c r="I27" i="12"/>
  <c r="I23" i="11"/>
  <c r="H24" i="11"/>
  <c r="J23" i="11"/>
  <c r="J28" i="12" l="1"/>
  <c r="I28" i="12"/>
  <c r="H29" i="12"/>
  <c r="H25" i="11"/>
  <c r="I24" i="11"/>
  <c r="J24" i="11"/>
  <c r="H30" i="12" l="1"/>
  <c r="I29" i="12"/>
  <c r="J29" i="12"/>
  <c r="H26" i="11"/>
  <c r="I25" i="11"/>
  <c r="J25" i="11"/>
  <c r="J30" i="12" l="1"/>
  <c r="H31" i="12"/>
  <c r="I30" i="12"/>
  <c r="H27" i="11"/>
  <c r="I26" i="11"/>
  <c r="J26" i="11"/>
  <c r="H32" i="12" l="1"/>
  <c r="I31" i="12"/>
  <c r="J31" i="12"/>
  <c r="I27" i="11"/>
  <c r="H28" i="11"/>
  <c r="J27" i="11"/>
  <c r="J32" i="12" l="1"/>
  <c r="H33" i="12"/>
  <c r="I32" i="12"/>
  <c r="H29" i="11"/>
  <c r="I28" i="11"/>
  <c r="J28" i="11"/>
  <c r="H34" i="12" l="1"/>
  <c r="I33" i="12"/>
  <c r="J33" i="12"/>
  <c r="H30" i="11"/>
  <c r="I29" i="11"/>
  <c r="J29" i="11"/>
  <c r="J34" i="12" l="1"/>
  <c r="H35" i="12"/>
  <c r="I34" i="12"/>
  <c r="I30" i="11"/>
  <c r="H31" i="11"/>
  <c r="J30" i="11"/>
  <c r="H36" i="12" l="1"/>
  <c r="I35" i="12"/>
  <c r="J35" i="12"/>
  <c r="H32" i="11"/>
  <c r="I31" i="11"/>
  <c r="J31" i="11"/>
  <c r="J36" i="12" l="1"/>
  <c r="H37" i="12"/>
  <c r="I36" i="12"/>
  <c r="I32" i="11"/>
  <c r="H33" i="11"/>
  <c r="J32" i="11"/>
  <c r="J37" i="12" l="1"/>
  <c r="H38" i="12"/>
  <c r="I37" i="12"/>
  <c r="H34" i="11"/>
  <c r="I33" i="11"/>
  <c r="J33" i="11"/>
  <c r="J38" i="12" l="1"/>
  <c r="H39" i="12"/>
  <c r="I38" i="12"/>
  <c r="H35" i="11"/>
  <c r="I34" i="11"/>
  <c r="J34" i="11"/>
  <c r="H40" i="12" l="1"/>
  <c r="I39" i="12"/>
  <c r="J39" i="12"/>
  <c r="I35" i="11"/>
  <c r="H36" i="11"/>
  <c r="J35" i="11"/>
  <c r="J40" i="12" l="1"/>
  <c r="H41" i="12"/>
  <c r="I40" i="12"/>
  <c r="I36" i="11"/>
  <c r="H37" i="11"/>
  <c r="J36" i="11"/>
  <c r="J41" i="12" l="1"/>
  <c r="H42" i="12"/>
  <c r="I41" i="12"/>
  <c r="H38" i="11"/>
  <c r="I37" i="11"/>
  <c r="J37" i="11"/>
  <c r="J42" i="12" l="1"/>
  <c r="H43" i="12"/>
  <c r="I42" i="12"/>
  <c r="H39" i="11"/>
  <c r="I38" i="11"/>
  <c r="J38" i="11"/>
  <c r="H44" i="12" l="1"/>
  <c r="I43" i="12"/>
  <c r="J43" i="12"/>
  <c r="H40" i="11"/>
  <c r="I39" i="11"/>
  <c r="J39" i="11"/>
  <c r="J44" i="12" l="1"/>
  <c r="I44" i="12"/>
  <c r="H45" i="12"/>
  <c r="H41" i="11"/>
  <c r="I40" i="11"/>
  <c r="J40" i="11"/>
  <c r="J45" i="12" l="1"/>
  <c r="H46" i="12"/>
  <c r="I45" i="12"/>
  <c r="H42" i="11"/>
  <c r="I41" i="11"/>
  <c r="J41" i="11"/>
  <c r="J46" i="12" l="1"/>
  <c r="H47" i="12"/>
  <c r="I46" i="12"/>
  <c r="I42" i="11"/>
  <c r="H43" i="11"/>
  <c r="J42" i="11"/>
  <c r="H48" i="12" l="1"/>
  <c r="I47" i="12"/>
  <c r="J47" i="12"/>
  <c r="H44" i="11"/>
  <c r="I43" i="11"/>
  <c r="J43" i="11"/>
  <c r="J48" i="12" l="1"/>
  <c r="H49" i="12"/>
  <c r="I48" i="12"/>
  <c r="H45" i="11"/>
  <c r="I44" i="11"/>
  <c r="J44" i="11"/>
  <c r="J49" i="12" l="1"/>
  <c r="H50" i="12"/>
  <c r="I49" i="12"/>
  <c r="H46" i="11"/>
  <c r="I45" i="11"/>
  <c r="J45" i="11"/>
  <c r="J50" i="12" l="1"/>
  <c r="H51" i="12"/>
  <c r="I50" i="12"/>
  <c r="H47" i="11"/>
  <c r="I46" i="11"/>
  <c r="J46" i="11"/>
  <c r="H52" i="12" l="1"/>
  <c r="I51" i="12"/>
  <c r="J51" i="12"/>
  <c r="H48" i="11"/>
  <c r="I47" i="11"/>
  <c r="J47" i="11"/>
  <c r="J52" i="12" l="1"/>
  <c r="H53" i="12"/>
  <c r="I52" i="12"/>
  <c r="H49" i="11"/>
  <c r="I48" i="11"/>
  <c r="J48" i="11"/>
  <c r="J53" i="12" l="1"/>
  <c r="H54" i="12"/>
  <c r="I53" i="12"/>
  <c r="H50" i="11"/>
  <c r="I49" i="11"/>
  <c r="J49" i="11"/>
  <c r="J54" i="12" l="1"/>
  <c r="H55" i="12"/>
  <c r="I54" i="12"/>
  <c r="H51" i="11"/>
  <c r="I50" i="11"/>
  <c r="J50" i="11"/>
  <c r="H56" i="12" l="1"/>
  <c r="I55" i="12"/>
  <c r="J55" i="12"/>
  <c r="H52" i="11"/>
  <c r="I51" i="11"/>
  <c r="J51" i="11"/>
  <c r="J56" i="12" l="1"/>
  <c r="H57" i="12"/>
  <c r="I56" i="12"/>
  <c r="H53" i="11"/>
  <c r="I52" i="11"/>
  <c r="J52" i="11"/>
  <c r="J57" i="12" l="1"/>
  <c r="H58" i="12"/>
  <c r="I57" i="12"/>
  <c r="H54" i="11"/>
  <c r="I53" i="11"/>
  <c r="J53" i="11"/>
  <c r="J58" i="12" l="1"/>
  <c r="H59" i="12"/>
  <c r="I58" i="12"/>
  <c r="H55" i="11"/>
  <c r="I54" i="11"/>
  <c r="J54" i="11"/>
  <c r="H60" i="12" l="1"/>
  <c r="I59" i="12"/>
  <c r="J59" i="12"/>
  <c r="H56" i="11"/>
  <c r="I55" i="11"/>
  <c r="J55" i="11"/>
  <c r="J60" i="12" l="1"/>
  <c r="I60" i="12"/>
  <c r="H61" i="12"/>
  <c r="H57" i="11"/>
  <c r="I56" i="11"/>
  <c r="J56" i="11"/>
  <c r="J61" i="12" l="1"/>
  <c r="H62" i="12"/>
  <c r="I61" i="12"/>
  <c r="H58" i="11"/>
  <c r="I57" i="11"/>
  <c r="J57" i="11"/>
  <c r="J62" i="12" l="1"/>
  <c r="H63" i="12"/>
  <c r="I62" i="12"/>
  <c r="H59" i="11"/>
  <c r="I58" i="11"/>
  <c r="J58" i="11"/>
  <c r="H64" i="12" l="1"/>
  <c r="I63" i="12"/>
  <c r="J63" i="12"/>
  <c r="I59" i="11"/>
  <c r="H60" i="11"/>
  <c r="J59" i="11"/>
  <c r="J64" i="12" l="1"/>
  <c r="H65" i="12"/>
  <c r="I64" i="12"/>
  <c r="I60" i="11"/>
  <c r="H61" i="11"/>
  <c r="J60" i="11"/>
  <c r="J65" i="12" l="1"/>
  <c r="H66" i="12"/>
  <c r="I65" i="12"/>
  <c r="H62" i="11"/>
  <c r="I61" i="11"/>
  <c r="J61" i="11"/>
  <c r="J66" i="12" l="1"/>
  <c r="H67" i="12"/>
  <c r="I66" i="12"/>
  <c r="H63" i="11"/>
  <c r="I62" i="11"/>
  <c r="J62" i="11"/>
  <c r="H68" i="12" l="1"/>
  <c r="I67" i="12"/>
  <c r="J67" i="12"/>
  <c r="H64" i="11"/>
  <c r="I63" i="11"/>
  <c r="J63" i="11"/>
  <c r="J68" i="12" l="1"/>
  <c r="H69" i="12"/>
  <c r="I68" i="12"/>
  <c r="H65" i="11"/>
  <c r="I64" i="11"/>
  <c r="J64" i="11"/>
  <c r="J69" i="12" l="1"/>
  <c r="H70" i="12"/>
  <c r="I69" i="12"/>
  <c r="H66" i="11"/>
  <c r="I65" i="11"/>
  <c r="J65" i="11"/>
  <c r="J70" i="12" l="1"/>
  <c r="H71" i="12"/>
  <c r="I70" i="12"/>
  <c r="H67" i="11"/>
  <c r="I66" i="11"/>
  <c r="J66" i="11"/>
  <c r="H72" i="12" l="1"/>
  <c r="I71" i="12"/>
  <c r="J71" i="12"/>
  <c r="H68" i="11"/>
  <c r="I67" i="11"/>
  <c r="J67" i="11"/>
  <c r="J72" i="12" l="1"/>
  <c r="H73" i="12"/>
  <c r="I72" i="12"/>
  <c r="I68" i="11"/>
  <c r="H69" i="11"/>
  <c r="J68" i="11"/>
  <c r="J73" i="12" l="1"/>
  <c r="H74" i="12"/>
  <c r="I73" i="12"/>
  <c r="H70" i="11"/>
  <c r="I69" i="11"/>
  <c r="J69" i="11"/>
  <c r="J74" i="12" l="1"/>
  <c r="H75" i="12"/>
  <c r="I74" i="12"/>
  <c r="I70" i="11"/>
  <c r="H71" i="11"/>
  <c r="J70" i="11"/>
  <c r="H76" i="12" l="1"/>
  <c r="I75" i="12"/>
  <c r="J75" i="12"/>
  <c r="I71" i="11"/>
  <c r="H72" i="11"/>
  <c r="J71" i="11"/>
  <c r="J76" i="12" l="1"/>
  <c r="I76" i="12"/>
  <c r="H77" i="12"/>
  <c r="H73" i="11"/>
  <c r="I72" i="11"/>
  <c r="J72" i="11"/>
  <c r="J77" i="12" l="1"/>
  <c r="H78" i="12"/>
  <c r="I77" i="12"/>
  <c r="H74" i="11"/>
  <c r="I73" i="11"/>
  <c r="J73" i="11"/>
  <c r="J78" i="12" l="1"/>
  <c r="H79" i="12"/>
  <c r="I78" i="12"/>
  <c r="H75" i="11"/>
  <c r="I74" i="11"/>
  <c r="J74" i="11"/>
  <c r="H80" i="12" l="1"/>
  <c r="I79" i="12"/>
  <c r="J79" i="12"/>
  <c r="H76" i="11"/>
  <c r="I75" i="11"/>
  <c r="J75" i="11"/>
  <c r="J80" i="12" l="1"/>
  <c r="H81" i="12"/>
  <c r="I80" i="12"/>
  <c r="H77" i="11"/>
  <c r="I76" i="11"/>
  <c r="J76" i="11"/>
  <c r="J81" i="12" l="1"/>
  <c r="H82" i="12"/>
  <c r="I81" i="12"/>
  <c r="H78" i="11"/>
  <c r="I77" i="11"/>
  <c r="J77" i="11"/>
  <c r="J82" i="12" l="1"/>
  <c r="H83" i="12"/>
  <c r="I82" i="12"/>
  <c r="I78" i="11"/>
  <c r="H79" i="11"/>
  <c r="J78" i="11"/>
  <c r="H84" i="12" l="1"/>
  <c r="I83" i="12"/>
  <c r="J83" i="12"/>
  <c r="I79" i="11"/>
  <c r="H80" i="11"/>
  <c r="J79" i="11"/>
  <c r="J84" i="12" l="1"/>
  <c r="H85" i="12"/>
  <c r="I84" i="12"/>
  <c r="H81" i="11"/>
  <c r="I80" i="11"/>
  <c r="J80" i="11"/>
  <c r="J85" i="12" l="1"/>
  <c r="H86" i="12"/>
  <c r="I85" i="12"/>
  <c r="H82" i="11"/>
  <c r="I81" i="11"/>
  <c r="J81" i="11"/>
  <c r="J86" i="12" l="1"/>
  <c r="H87" i="12"/>
  <c r="I86" i="12"/>
  <c r="H83" i="11"/>
  <c r="I82" i="11"/>
  <c r="J82" i="11"/>
  <c r="H88" i="12" l="1"/>
  <c r="I87" i="12"/>
  <c r="J87" i="12"/>
  <c r="I83" i="11"/>
  <c r="H84" i="11"/>
  <c r="J83" i="11"/>
  <c r="J88" i="12" l="1"/>
  <c r="H89" i="12"/>
  <c r="I88" i="12"/>
  <c r="H85" i="11"/>
  <c r="I84" i="11"/>
  <c r="J84" i="11"/>
  <c r="J89" i="12" l="1"/>
  <c r="H90" i="12"/>
  <c r="I89" i="12"/>
  <c r="I85" i="11"/>
  <c r="H86" i="11"/>
  <c r="J85" i="11"/>
  <c r="J90" i="12" l="1"/>
  <c r="H91" i="12"/>
  <c r="I90" i="12"/>
  <c r="I86" i="11"/>
  <c r="H87" i="11"/>
  <c r="J86" i="11"/>
  <c r="H92" i="12" l="1"/>
  <c r="I91" i="12"/>
  <c r="J91" i="12"/>
  <c r="I87" i="11"/>
  <c r="H88" i="11"/>
  <c r="J87" i="11"/>
  <c r="J92" i="12" l="1"/>
  <c r="I92" i="12"/>
  <c r="H93" i="12"/>
  <c r="H89" i="11"/>
  <c r="I88" i="11"/>
  <c r="J88" i="11"/>
  <c r="J93" i="12" l="1"/>
  <c r="H94" i="12"/>
  <c r="I93" i="12"/>
  <c r="I89" i="11"/>
  <c r="H90" i="11"/>
  <c r="J89" i="11"/>
  <c r="J94" i="12" l="1"/>
  <c r="H95" i="12"/>
  <c r="I94" i="12"/>
  <c r="H91" i="11"/>
  <c r="I90" i="11"/>
  <c r="J90" i="11"/>
  <c r="H96" i="12" l="1"/>
  <c r="I95" i="12"/>
  <c r="J95" i="12"/>
  <c r="I91" i="11"/>
  <c r="H92" i="11"/>
  <c r="J91" i="11"/>
  <c r="J96" i="12" l="1"/>
  <c r="H97" i="12"/>
  <c r="I96" i="12"/>
  <c r="H93" i="11"/>
  <c r="I92" i="11"/>
  <c r="J92" i="11"/>
  <c r="J97" i="12" l="1"/>
  <c r="H98" i="12"/>
  <c r="I97" i="12"/>
  <c r="H94" i="11"/>
  <c r="I93" i="11"/>
  <c r="J93" i="11"/>
  <c r="J98" i="12" l="1"/>
  <c r="H99" i="12"/>
  <c r="I98" i="12"/>
  <c r="H95" i="11"/>
  <c r="I94" i="11"/>
  <c r="J94" i="11"/>
  <c r="H100" i="12" l="1"/>
  <c r="I99" i="12"/>
  <c r="J99" i="12"/>
  <c r="H96" i="11"/>
  <c r="I95" i="11"/>
  <c r="J95" i="11"/>
  <c r="J100" i="12" l="1"/>
  <c r="H101" i="12"/>
  <c r="I100" i="12"/>
  <c r="H97" i="11"/>
  <c r="I96" i="11"/>
  <c r="J96" i="11"/>
  <c r="J101" i="12" l="1"/>
  <c r="H102" i="12"/>
  <c r="I101" i="12"/>
  <c r="H98" i="11"/>
  <c r="I97" i="11"/>
  <c r="J97" i="11"/>
  <c r="J102" i="12" l="1"/>
  <c r="H103" i="12"/>
  <c r="I102" i="12"/>
  <c r="H99" i="11"/>
  <c r="I98" i="11"/>
  <c r="J98" i="11"/>
  <c r="H104" i="12" l="1"/>
  <c r="I103" i="12"/>
  <c r="J103" i="12"/>
  <c r="H100" i="11"/>
  <c r="I99" i="11"/>
  <c r="J99" i="11"/>
  <c r="J104" i="12" l="1"/>
  <c r="H105" i="12"/>
  <c r="I104" i="12"/>
  <c r="H101" i="11"/>
  <c r="I100" i="11"/>
  <c r="J100" i="11"/>
  <c r="J105" i="12" l="1"/>
  <c r="H106" i="12"/>
  <c r="I105" i="12"/>
  <c r="I101" i="11"/>
  <c r="H102" i="11"/>
  <c r="J101" i="11"/>
  <c r="J106" i="12" l="1"/>
  <c r="H107" i="12"/>
  <c r="I106" i="12"/>
  <c r="I102" i="11"/>
  <c r="H103" i="11"/>
  <c r="J102" i="11"/>
  <c r="H108" i="12" l="1"/>
  <c r="I107" i="12"/>
  <c r="J107" i="12"/>
  <c r="I103" i="11"/>
  <c r="H104" i="11"/>
  <c r="J103" i="11"/>
  <c r="J108" i="12" l="1"/>
  <c r="I108" i="12"/>
  <c r="H109" i="12"/>
  <c r="H105" i="11"/>
  <c r="I104" i="11"/>
  <c r="J104" i="11"/>
  <c r="J109" i="12" l="1"/>
  <c r="H110" i="12"/>
  <c r="I109" i="12"/>
  <c r="H106" i="11"/>
  <c r="I105" i="11"/>
  <c r="J105" i="11"/>
  <c r="J110" i="12" l="1"/>
  <c r="H111" i="12"/>
  <c r="I110" i="12"/>
  <c r="I106" i="11"/>
  <c r="H107" i="11"/>
  <c r="J106" i="11"/>
  <c r="H112" i="12" l="1"/>
  <c r="I111" i="12"/>
  <c r="J111" i="12"/>
  <c r="H108" i="11"/>
  <c r="I107" i="11"/>
  <c r="J107" i="11"/>
  <c r="J112" i="12" l="1"/>
  <c r="H113" i="12"/>
  <c r="I112" i="12"/>
  <c r="H109" i="11"/>
  <c r="I108" i="11"/>
  <c r="J108" i="11"/>
  <c r="J113" i="12" l="1"/>
  <c r="H114" i="12"/>
  <c r="I113" i="12"/>
  <c r="I109" i="11"/>
  <c r="H110" i="11"/>
  <c r="J109" i="11"/>
  <c r="J114" i="12" l="1"/>
  <c r="H115" i="12"/>
  <c r="I114" i="12"/>
  <c r="I110" i="11"/>
  <c r="H111" i="11"/>
  <c r="J110" i="11"/>
  <c r="H116" i="12" l="1"/>
  <c r="I115" i="12"/>
  <c r="J115" i="12"/>
  <c r="I111" i="11"/>
  <c r="H112" i="11"/>
  <c r="J111" i="11"/>
  <c r="J116" i="12" l="1"/>
  <c r="H117" i="12"/>
  <c r="I116" i="12"/>
  <c r="H113" i="11"/>
  <c r="I112" i="11"/>
  <c r="J112" i="11"/>
  <c r="J117" i="12" l="1"/>
  <c r="H118" i="12"/>
  <c r="I117" i="12"/>
  <c r="I113" i="11"/>
  <c r="H114" i="11"/>
  <c r="J113" i="11"/>
  <c r="J118" i="12" l="1"/>
  <c r="H119" i="12"/>
  <c r="I118" i="12"/>
  <c r="H115" i="11"/>
  <c r="I114" i="11"/>
  <c r="J114" i="11"/>
  <c r="H120" i="12" l="1"/>
  <c r="I119" i="12"/>
  <c r="J119" i="12"/>
  <c r="H116" i="11"/>
  <c r="I115" i="11"/>
  <c r="J115" i="11"/>
  <c r="J120" i="12" l="1"/>
  <c r="H121" i="12"/>
  <c r="I120" i="12"/>
  <c r="I116" i="11"/>
  <c r="H117" i="11"/>
  <c r="J116" i="11"/>
  <c r="J121" i="12" l="1"/>
  <c r="H122" i="12"/>
  <c r="I121" i="12"/>
  <c r="I117" i="11"/>
  <c r="H118" i="11"/>
  <c r="J117" i="11"/>
  <c r="J122" i="12" l="1"/>
  <c r="H123" i="12"/>
  <c r="I122" i="12"/>
  <c r="I118" i="11"/>
  <c r="H119" i="11"/>
  <c r="J118" i="11"/>
  <c r="I123" i="12" l="1"/>
  <c r="H124" i="12"/>
  <c r="J123" i="12"/>
  <c r="H120" i="11"/>
  <c r="I119" i="11"/>
  <c r="J119" i="11"/>
  <c r="J124" i="12" l="1"/>
  <c r="I124" i="12"/>
  <c r="H125" i="12"/>
  <c r="I120" i="11"/>
  <c r="H121" i="11"/>
  <c r="J120" i="11"/>
  <c r="H126" i="12" l="1"/>
  <c r="I125" i="12"/>
  <c r="J125" i="12"/>
  <c r="I121" i="11"/>
  <c r="H122" i="11"/>
  <c r="J121" i="11"/>
  <c r="J126" i="12" l="1"/>
  <c r="I126" i="12"/>
  <c r="H127" i="12"/>
  <c r="H123" i="11"/>
  <c r="I122" i="11"/>
  <c r="J122" i="11"/>
  <c r="J127" i="12" l="1"/>
  <c r="I127" i="12"/>
  <c r="H128" i="12"/>
  <c r="H124" i="11"/>
  <c r="I123" i="11"/>
  <c r="J123" i="11"/>
  <c r="J128" i="12" l="1"/>
  <c r="I128" i="12"/>
  <c r="H129" i="12"/>
  <c r="H125" i="11"/>
  <c r="I124" i="11"/>
  <c r="J124" i="11"/>
  <c r="H130" i="12" l="1"/>
  <c r="I129" i="12"/>
  <c r="J129" i="12"/>
  <c r="H126" i="11"/>
  <c r="I125" i="11"/>
  <c r="J125" i="11"/>
  <c r="J130" i="12" l="1"/>
  <c r="I130" i="12"/>
  <c r="H131" i="12"/>
  <c r="H127" i="11"/>
  <c r="I126" i="11"/>
  <c r="J126" i="11"/>
  <c r="J131" i="12" l="1"/>
  <c r="I131" i="12"/>
  <c r="H132" i="12"/>
  <c r="H128" i="11"/>
  <c r="I127" i="11"/>
  <c r="J127" i="11"/>
  <c r="J132" i="12" l="1"/>
  <c r="I132" i="12"/>
  <c r="H133" i="12"/>
  <c r="I128" i="11"/>
  <c r="H129" i="11"/>
  <c r="J128" i="11"/>
  <c r="H134" i="12" l="1"/>
  <c r="I133" i="12"/>
  <c r="J133" i="12"/>
  <c r="I129" i="11"/>
  <c r="H130" i="11"/>
  <c r="J129" i="11"/>
  <c r="H135" i="12" l="1"/>
  <c r="J134" i="12"/>
  <c r="I134" i="12"/>
  <c r="I130" i="11"/>
  <c r="H131" i="11"/>
  <c r="J130" i="11"/>
  <c r="H136" i="12" l="1"/>
  <c r="J135" i="12"/>
  <c r="I135" i="12"/>
  <c r="I131" i="11"/>
  <c r="H132" i="11"/>
  <c r="J131" i="11"/>
  <c r="J136" i="12" l="1"/>
  <c r="H137" i="12"/>
  <c r="I136" i="12"/>
  <c r="I132" i="11"/>
  <c r="H133" i="11"/>
  <c r="J132" i="11"/>
  <c r="H138" i="12" l="1"/>
  <c r="I137" i="12"/>
  <c r="J137" i="12"/>
  <c r="I133" i="11"/>
  <c r="H134" i="11"/>
  <c r="J133" i="11"/>
  <c r="J138" i="12" l="1"/>
  <c r="H139" i="12"/>
  <c r="I138" i="12"/>
  <c r="I134" i="11"/>
  <c r="H135" i="11"/>
  <c r="J134" i="11"/>
  <c r="J139" i="12" l="1"/>
  <c r="H140" i="12"/>
  <c r="I139" i="12"/>
  <c r="I135" i="11"/>
  <c r="H136" i="11"/>
  <c r="J135" i="11"/>
  <c r="J140" i="12" l="1"/>
  <c r="H141" i="12"/>
  <c r="I140" i="12"/>
  <c r="H137" i="11"/>
  <c r="I136" i="11"/>
  <c r="J136" i="11"/>
  <c r="H142" i="12" l="1"/>
  <c r="I141" i="12"/>
  <c r="J141" i="12"/>
  <c r="H138" i="11"/>
  <c r="I137" i="11"/>
  <c r="J137" i="11"/>
  <c r="J142" i="12" l="1"/>
  <c r="I142" i="12"/>
  <c r="H143" i="12"/>
  <c r="H139" i="11"/>
  <c r="I138" i="11"/>
  <c r="J138" i="11"/>
  <c r="J143" i="12" l="1"/>
  <c r="H144" i="12"/>
  <c r="I143" i="12"/>
  <c r="H140" i="11"/>
  <c r="I139" i="11"/>
  <c r="J139" i="11"/>
  <c r="J144" i="12" l="1"/>
  <c r="H145" i="12"/>
  <c r="I144" i="12"/>
  <c r="H141" i="11"/>
  <c r="I140" i="11"/>
  <c r="J140" i="11"/>
  <c r="H146" i="12" l="1"/>
  <c r="I145" i="12"/>
  <c r="J145" i="12"/>
  <c r="H142" i="11"/>
  <c r="I141" i="11"/>
  <c r="J141" i="11"/>
  <c r="J146" i="12" l="1"/>
  <c r="H147" i="12"/>
  <c r="I146" i="12"/>
  <c r="H143" i="11"/>
  <c r="I142" i="11"/>
  <c r="J142" i="11"/>
  <c r="J147" i="12" l="1"/>
  <c r="H148" i="12"/>
  <c r="I147" i="12"/>
  <c r="I143" i="11"/>
  <c r="H144" i="11"/>
  <c r="J143" i="11"/>
  <c r="J148" i="12" l="1"/>
  <c r="H149" i="12"/>
  <c r="I148" i="12"/>
  <c r="I144" i="11"/>
  <c r="H145" i="11"/>
  <c r="J144" i="11"/>
  <c r="H150" i="12" l="1"/>
  <c r="I149" i="12"/>
  <c r="J149" i="12"/>
  <c r="H146" i="11"/>
  <c r="I145" i="11"/>
  <c r="J145" i="11"/>
  <c r="J150" i="12" l="1"/>
  <c r="H151" i="12"/>
  <c r="I150" i="12"/>
  <c r="H147" i="11"/>
  <c r="I146" i="11"/>
  <c r="J146" i="11"/>
  <c r="J151" i="12" l="1"/>
  <c r="H152" i="12"/>
  <c r="I151" i="12"/>
  <c r="H148" i="11"/>
  <c r="I147" i="11"/>
  <c r="J147" i="11"/>
  <c r="J152" i="12" l="1"/>
  <c r="H153" i="12"/>
  <c r="I152" i="12"/>
  <c r="H149" i="11"/>
  <c r="I148" i="11"/>
  <c r="J148" i="11"/>
  <c r="H154" i="12" l="1"/>
  <c r="I153" i="12"/>
  <c r="J153" i="12"/>
  <c r="H150" i="11"/>
  <c r="I149" i="11"/>
  <c r="J149" i="11"/>
  <c r="J154" i="12" l="1"/>
  <c r="H155" i="12"/>
  <c r="I154" i="12"/>
  <c r="H151" i="11"/>
  <c r="I150" i="11"/>
  <c r="J150" i="11"/>
  <c r="J155" i="12" l="1"/>
  <c r="H156" i="12"/>
  <c r="I155" i="12"/>
  <c r="H152" i="11"/>
  <c r="I151" i="11"/>
  <c r="J151" i="11"/>
  <c r="J156" i="12" l="1"/>
  <c r="H157" i="12"/>
  <c r="I156" i="12"/>
  <c r="I152" i="11"/>
  <c r="H153" i="11"/>
  <c r="J152" i="11"/>
  <c r="H158" i="12" l="1"/>
  <c r="I157" i="12"/>
  <c r="J157" i="12"/>
  <c r="H154" i="11"/>
  <c r="I153" i="11"/>
  <c r="J153" i="11"/>
  <c r="J158" i="12" l="1"/>
  <c r="I158" i="12"/>
  <c r="H159" i="12"/>
  <c r="I154" i="11"/>
  <c r="H155" i="11"/>
  <c r="J154" i="11"/>
  <c r="J159" i="12" l="1"/>
  <c r="H160" i="12"/>
  <c r="I159" i="12"/>
  <c r="I155" i="11"/>
  <c r="H156" i="11"/>
  <c r="J155" i="11"/>
  <c r="J160" i="12" l="1"/>
  <c r="H161" i="12"/>
  <c r="I160" i="12"/>
  <c r="I156" i="11"/>
  <c r="H157" i="11"/>
  <c r="J156" i="11"/>
  <c r="H162" i="12" l="1"/>
  <c r="I161" i="12"/>
  <c r="J161" i="12"/>
  <c r="I157" i="11"/>
  <c r="H158" i="11"/>
  <c r="J157" i="11"/>
  <c r="J162" i="12" l="1"/>
  <c r="H163" i="12"/>
  <c r="I162" i="12"/>
  <c r="H159" i="11"/>
  <c r="I158" i="11"/>
  <c r="J158" i="11"/>
  <c r="J163" i="12" l="1"/>
  <c r="H164" i="12"/>
  <c r="I163" i="12"/>
  <c r="I159" i="11"/>
  <c r="H160" i="11"/>
  <c r="J159" i="11"/>
  <c r="J164" i="12" l="1"/>
  <c r="H165" i="12"/>
  <c r="I164" i="12"/>
  <c r="I160" i="11"/>
  <c r="H161" i="11"/>
  <c r="J160" i="11"/>
  <c r="H166" i="12" l="1"/>
  <c r="I165" i="12"/>
  <c r="J165" i="12"/>
  <c r="H162" i="11"/>
  <c r="I161" i="11"/>
  <c r="J161" i="11"/>
  <c r="J166" i="12" l="1"/>
  <c r="H167" i="12"/>
  <c r="I166" i="12"/>
  <c r="H163" i="11"/>
  <c r="I162" i="11"/>
  <c r="J162" i="11"/>
  <c r="J167" i="12" l="1"/>
  <c r="H168" i="12"/>
  <c r="I167" i="12"/>
  <c r="H164" i="11"/>
  <c r="I163" i="11"/>
  <c r="J163" i="11"/>
  <c r="J168" i="12" l="1"/>
  <c r="H169" i="12"/>
  <c r="I168" i="12"/>
  <c r="H165" i="11"/>
  <c r="I164" i="11"/>
  <c r="J164" i="11"/>
  <c r="H170" i="12" l="1"/>
  <c r="I169" i="12"/>
  <c r="J169" i="12"/>
  <c r="H166" i="11"/>
  <c r="I165" i="11"/>
  <c r="J165" i="11"/>
  <c r="J170" i="12" l="1"/>
  <c r="H171" i="12"/>
  <c r="I170" i="12"/>
  <c r="H167" i="11"/>
  <c r="I166" i="11"/>
  <c r="J166" i="11"/>
  <c r="J171" i="12" l="1"/>
  <c r="H172" i="12"/>
  <c r="I171" i="12"/>
  <c r="H168" i="11"/>
  <c r="I167" i="11"/>
  <c r="J167" i="11"/>
  <c r="J172" i="12" l="1"/>
  <c r="H173" i="12"/>
  <c r="I172" i="12"/>
  <c r="H169" i="11"/>
  <c r="I168" i="11"/>
  <c r="J168" i="11"/>
  <c r="H174" i="12" l="1"/>
  <c r="I173" i="12"/>
  <c r="J173" i="12"/>
  <c r="H170" i="11"/>
  <c r="I169" i="11"/>
  <c r="J169" i="11"/>
  <c r="J174" i="12" l="1"/>
  <c r="I174" i="12"/>
  <c r="H175" i="12"/>
  <c r="H171" i="11"/>
  <c r="I170" i="11"/>
  <c r="J170" i="11"/>
  <c r="J175" i="12" l="1"/>
  <c r="H176" i="12"/>
  <c r="I175" i="12"/>
  <c r="H172" i="11"/>
  <c r="I171" i="11"/>
  <c r="J171" i="11"/>
  <c r="J176" i="12" l="1"/>
  <c r="H177" i="12"/>
  <c r="I176" i="12"/>
  <c r="H173" i="11"/>
  <c r="I172" i="11"/>
  <c r="J172" i="11"/>
  <c r="H178" i="12" l="1"/>
  <c r="I177" i="12"/>
  <c r="J177" i="12"/>
  <c r="H174" i="11"/>
  <c r="I173" i="11"/>
  <c r="J173" i="11"/>
  <c r="J178" i="12" l="1"/>
  <c r="H179" i="12"/>
  <c r="I178" i="12"/>
  <c r="H175" i="11"/>
  <c r="I174" i="11"/>
  <c r="J174" i="11"/>
  <c r="J179" i="12" l="1"/>
  <c r="H180" i="12"/>
  <c r="I179" i="12"/>
  <c r="I175" i="11"/>
  <c r="H176" i="11"/>
  <c r="J175" i="11"/>
  <c r="J180" i="12" l="1"/>
  <c r="H181" i="12"/>
  <c r="I180" i="12"/>
  <c r="I176" i="11"/>
  <c r="H177" i="11"/>
  <c r="J176" i="11"/>
  <c r="H182" i="12" l="1"/>
  <c r="I181" i="12"/>
  <c r="J181" i="12"/>
  <c r="I177" i="11"/>
  <c r="H178" i="11"/>
  <c r="J177" i="11"/>
  <c r="J182" i="12" l="1"/>
  <c r="H183" i="12"/>
  <c r="I182" i="12"/>
  <c r="H179" i="11"/>
  <c r="I178" i="11"/>
  <c r="J178" i="11"/>
  <c r="J183" i="12" l="1"/>
  <c r="H184" i="12"/>
  <c r="I183" i="12"/>
  <c r="H180" i="11"/>
  <c r="I179" i="11"/>
  <c r="J179" i="11"/>
  <c r="J184" i="12" l="1"/>
  <c r="H185" i="12"/>
  <c r="I184" i="12"/>
  <c r="I180" i="11"/>
  <c r="H181" i="11"/>
  <c r="J180" i="11"/>
  <c r="H186" i="12" l="1"/>
  <c r="I185" i="12"/>
  <c r="J185" i="12"/>
  <c r="H182" i="11"/>
  <c r="I181" i="11"/>
  <c r="J181" i="11"/>
  <c r="J186" i="12" l="1"/>
  <c r="H187" i="12"/>
  <c r="I186" i="12"/>
  <c r="H183" i="11"/>
  <c r="I182" i="11"/>
  <c r="J182" i="11"/>
  <c r="J187" i="12" l="1"/>
  <c r="H188" i="12"/>
  <c r="I187" i="12"/>
  <c r="I183" i="11"/>
  <c r="H184" i="11"/>
  <c r="J183" i="11"/>
  <c r="J188" i="12" l="1"/>
  <c r="H189" i="12"/>
  <c r="I188" i="12"/>
  <c r="I184" i="11"/>
  <c r="H185" i="11"/>
  <c r="J184" i="11"/>
  <c r="H190" i="12" l="1"/>
  <c r="I189" i="12"/>
  <c r="J189" i="12"/>
  <c r="H186" i="11"/>
  <c r="I185" i="11"/>
  <c r="J185" i="11"/>
  <c r="J190" i="12" l="1"/>
  <c r="I190" i="12"/>
  <c r="H191" i="12"/>
  <c r="H187" i="11"/>
  <c r="I186" i="11"/>
  <c r="J186" i="11"/>
  <c r="J191" i="12" l="1"/>
  <c r="H192" i="12"/>
  <c r="I191" i="12"/>
  <c r="H188" i="11"/>
  <c r="I187" i="11"/>
  <c r="J187" i="11"/>
  <c r="J192" i="12" l="1"/>
  <c r="H193" i="12"/>
  <c r="I192" i="12"/>
  <c r="H189" i="11"/>
  <c r="I188" i="11"/>
  <c r="J188" i="11"/>
  <c r="H194" i="12" l="1"/>
  <c r="I193" i="12"/>
  <c r="J193" i="12"/>
  <c r="H190" i="11"/>
  <c r="I189" i="11"/>
  <c r="J189" i="11"/>
  <c r="J194" i="12" l="1"/>
  <c r="H195" i="12"/>
  <c r="I194" i="12"/>
  <c r="I190" i="11"/>
  <c r="H191" i="11"/>
  <c r="J190" i="11"/>
  <c r="J195" i="12" l="1"/>
  <c r="H196" i="12"/>
  <c r="I195" i="12"/>
  <c r="H192" i="11"/>
  <c r="I191" i="11"/>
  <c r="J191" i="11"/>
  <c r="J196" i="12" l="1"/>
  <c r="H197" i="12"/>
  <c r="I196" i="12"/>
  <c r="I192" i="11"/>
  <c r="H193" i="11"/>
  <c r="J192" i="11"/>
  <c r="H198" i="12" l="1"/>
  <c r="I197" i="12"/>
  <c r="J197" i="12"/>
  <c r="H194" i="11"/>
  <c r="I193" i="11"/>
  <c r="J193" i="11"/>
  <c r="J198" i="12" l="1"/>
  <c r="H199" i="12"/>
  <c r="I198" i="12"/>
  <c r="I194" i="11"/>
  <c r="H195" i="11"/>
  <c r="J194" i="11"/>
  <c r="J199" i="12" l="1"/>
  <c r="H200" i="12"/>
  <c r="I199" i="12"/>
  <c r="H196" i="11"/>
  <c r="I195" i="11"/>
  <c r="J195" i="11"/>
  <c r="J200" i="12" l="1"/>
  <c r="H201" i="12"/>
  <c r="I200" i="12"/>
  <c r="I196" i="11"/>
  <c r="H197" i="11"/>
  <c r="J196" i="11"/>
  <c r="H202" i="12" l="1"/>
  <c r="I201" i="12"/>
  <c r="J201" i="12"/>
  <c r="H198" i="11"/>
  <c r="I197" i="11"/>
  <c r="J197" i="11"/>
  <c r="J202" i="12" l="1"/>
  <c r="H203" i="12"/>
  <c r="I202" i="12"/>
  <c r="H199" i="11"/>
  <c r="I198" i="11"/>
  <c r="J198" i="11"/>
  <c r="J203" i="12" l="1"/>
  <c r="H204" i="12"/>
  <c r="I203" i="12"/>
  <c r="H200" i="11"/>
  <c r="I199" i="11"/>
  <c r="J199" i="11"/>
  <c r="J204" i="12" l="1"/>
  <c r="H205" i="12"/>
  <c r="I204" i="12"/>
  <c r="I200" i="11"/>
  <c r="H201" i="11"/>
  <c r="J200" i="11"/>
  <c r="H206" i="12" l="1"/>
  <c r="I205" i="12"/>
  <c r="J205" i="12"/>
  <c r="H202" i="11"/>
  <c r="I201" i="11"/>
  <c r="J201" i="11"/>
  <c r="J206" i="12" l="1"/>
  <c r="I206" i="12"/>
  <c r="H207" i="12"/>
  <c r="H203" i="11"/>
  <c r="I202" i="11"/>
  <c r="J202" i="11"/>
  <c r="J207" i="12" l="1"/>
  <c r="H208" i="12"/>
  <c r="I207" i="12"/>
  <c r="H204" i="11"/>
  <c r="I203" i="11"/>
  <c r="J203" i="11"/>
  <c r="J208" i="12" l="1"/>
  <c r="H209" i="12"/>
  <c r="I208" i="12"/>
  <c r="H205" i="11"/>
  <c r="I204" i="11"/>
  <c r="J204" i="11"/>
  <c r="H210" i="12" l="1"/>
  <c r="I209" i="12"/>
  <c r="J209" i="12"/>
  <c r="I205" i="11"/>
  <c r="H206" i="11"/>
  <c r="J205" i="11"/>
  <c r="J210" i="12" l="1"/>
  <c r="H211" i="12"/>
  <c r="I210" i="12"/>
  <c r="H207" i="11"/>
  <c r="I206" i="11"/>
  <c r="J206" i="11"/>
  <c r="J211" i="12" l="1"/>
  <c r="H212" i="12"/>
  <c r="I211" i="12"/>
  <c r="H208" i="11"/>
  <c r="I207" i="11"/>
  <c r="J207" i="11"/>
  <c r="J212" i="12" l="1"/>
  <c r="H213" i="12"/>
  <c r="I212" i="12"/>
  <c r="H209" i="11"/>
  <c r="I208" i="11"/>
  <c r="J208" i="11"/>
  <c r="H214" i="12" l="1"/>
  <c r="I213" i="12"/>
  <c r="J213" i="12"/>
  <c r="H210" i="11"/>
  <c r="I209" i="11"/>
  <c r="J209" i="11"/>
  <c r="J214" i="12" l="1"/>
  <c r="H215" i="12"/>
  <c r="I214" i="12"/>
  <c r="H211" i="11"/>
  <c r="I210" i="11"/>
  <c r="J210" i="11"/>
  <c r="J215" i="12" l="1"/>
  <c r="H216" i="12"/>
  <c r="I215" i="12"/>
  <c r="H212" i="11"/>
  <c r="I211" i="11"/>
  <c r="J211" i="11"/>
  <c r="J216" i="12" l="1"/>
  <c r="H217" i="12"/>
  <c r="I216" i="12"/>
  <c r="I212" i="11"/>
  <c r="H213" i="11"/>
  <c r="J212" i="11"/>
  <c r="H218" i="12" l="1"/>
  <c r="I217" i="12"/>
  <c r="J217" i="12"/>
  <c r="I213" i="11"/>
  <c r="H214" i="11"/>
  <c r="J213" i="11"/>
  <c r="J218" i="12" l="1"/>
  <c r="H219" i="12"/>
  <c r="I218" i="12"/>
  <c r="H215" i="11"/>
  <c r="I214" i="11"/>
  <c r="J214" i="11"/>
  <c r="J219" i="12" l="1"/>
  <c r="H220" i="12"/>
  <c r="I219" i="12"/>
  <c r="H216" i="11"/>
  <c r="I215" i="11"/>
  <c r="J215" i="11"/>
  <c r="J220" i="12" l="1"/>
  <c r="H221" i="12"/>
  <c r="I220" i="12"/>
  <c r="H217" i="11"/>
  <c r="I216" i="11"/>
  <c r="J216" i="11"/>
  <c r="H222" i="12" l="1"/>
  <c r="I221" i="12"/>
  <c r="J221" i="12"/>
  <c r="I217" i="11"/>
  <c r="H218" i="11"/>
  <c r="J217" i="11"/>
  <c r="J222" i="12" l="1"/>
  <c r="I222" i="12"/>
  <c r="H223" i="12"/>
  <c r="I218" i="11"/>
  <c r="H219" i="11"/>
  <c r="J218" i="11"/>
  <c r="J223" i="12" l="1"/>
  <c r="H224" i="12"/>
  <c r="I223" i="12"/>
  <c r="I219" i="11"/>
  <c r="H220" i="11"/>
  <c r="J219" i="11"/>
  <c r="J224" i="12" l="1"/>
  <c r="H225" i="12"/>
  <c r="I224" i="12"/>
  <c r="H221" i="11"/>
  <c r="I220" i="11"/>
  <c r="J220" i="11"/>
  <c r="H226" i="12" l="1"/>
  <c r="I225" i="12"/>
  <c r="J225" i="12"/>
  <c r="H222" i="11"/>
  <c r="I221" i="11"/>
  <c r="J221" i="11"/>
  <c r="J226" i="12" l="1"/>
  <c r="H227" i="12"/>
  <c r="I226" i="12"/>
  <c r="H223" i="11"/>
  <c r="I222" i="11"/>
  <c r="J222" i="11"/>
  <c r="J227" i="12" l="1"/>
  <c r="H228" i="12"/>
  <c r="I227" i="12"/>
  <c r="H224" i="11"/>
  <c r="I223" i="11"/>
  <c r="J223" i="11"/>
  <c r="J228" i="12" l="1"/>
  <c r="H229" i="12"/>
  <c r="I228" i="12"/>
  <c r="H225" i="11"/>
  <c r="I224" i="11"/>
  <c r="J224" i="11"/>
  <c r="H230" i="12" l="1"/>
  <c r="I229" i="12"/>
  <c r="J229" i="12"/>
  <c r="H226" i="11"/>
  <c r="I225" i="11"/>
  <c r="J225" i="11"/>
  <c r="J230" i="12" l="1"/>
  <c r="H231" i="12"/>
  <c r="I230" i="12"/>
  <c r="H227" i="11"/>
  <c r="I226" i="11"/>
  <c r="J226" i="11"/>
  <c r="H232" i="12" l="1"/>
  <c r="I231" i="12"/>
  <c r="J231" i="12"/>
  <c r="H228" i="11"/>
  <c r="I227" i="11"/>
  <c r="J227" i="11"/>
  <c r="I232" i="12" l="1"/>
  <c r="H233" i="12"/>
  <c r="J232" i="12"/>
  <c r="H229" i="11"/>
  <c r="I228" i="11"/>
  <c r="J228" i="11"/>
  <c r="I233" i="12" l="1"/>
  <c r="H234" i="12"/>
  <c r="J233" i="12"/>
  <c r="H230" i="11"/>
  <c r="I229" i="11"/>
  <c r="J229" i="11"/>
  <c r="J234" i="12" l="1"/>
  <c r="I234" i="12"/>
  <c r="H235" i="12"/>
  <c r="H231" i="11"/>
  <c r="I230" i="11"/>
  <c r="J230" i="11"/>
  <c r="H236" i="12" l="1"/>
  <c r="I235" i="12"/>
  <c r="J235" i="12"/>
  <c r="H232" i="11"/>
  <c r="I231" i="11"/>
  <c r="J231" i="11"/>
  <c r="J236" i="12" l="1"/>
  <c r="I236" i="12"/>
  <c r="H237" i="12"/>
  <c r="I232" i="11"/>
  <c r="H233" i="11"/>
  <c r="J232" i="11"/>
  <c r="J237" i="12" l="1"/>
  <c r="I237" i="12"/>
  <c r="H238" i="12"/>
  <c r="I233" i="11"/>
  <c r="H234" i="11"/>
  <c r="J233" i="11"/>
  <c r="J238" i="12" l="1"/>
  <c r="H239" i="12"/>
  <c r="I238" i="12"/>
  <c r="H235" i="11"/>
  <c r="I234" i="11"/>
  <c r="J234" i="11"/>
  <c r="H240" i="12" l="1"/>
  <c r="I239" i="12"/>
  <c r="J239" i="12"/>
  <c r="H236" i="11"/>
  <c r="I235" i="11"/>
  <c r="J235" i="11"/>
  <c r="H241" i="12" l="1"/>
  <c r="J240" i="12"/>
  <c r="I240" i="12"/>
  <c r="I236" i="11"/>
  <c r="H237" i="11"/>
  <c r="J236" i="11"/>
  <c r="J241" i="12" l="1"/>
  <c r="H242" i="12"/>
  <c r="I241" i="12"/>
  <c r="I237" i="11"/>
  <c r="H238" i="11"/>
  <c r="J237" i="11"/>
  <c r="J242" i="12" l="1"/>
  <c r="H243" i="12"/>
  <c r="I242" i="12"/>
  <c r="H239" i="11"/>
  <c r="I238" i="11"/>
  <c r="J238" i="11"/>
  <c r="H244" i="12" l="1"/>
  <c r="I243" i="12"/>
  <c r="J243" i="12"/>
  <c r="I239" i="11"/>
  <c r="H240" i="11"/>
  <c r="J239" i="11"/>
  <c r="I244" i="12" l="1"/>
  <c r="H245" i="12"/>
  <c r="J244" i="12"/>
  <c r="H241" i="11"/>
  <c r="I240" i="11"/>
  <c r="J240" i="11"/>
  <c r="J245" i="12" l="1"/>
  <c r="I245" i="12"/>
  <c r="H246" i="12"/>
  <c r="H242" i="11"/>
  <c r="I241" i="11"/>
  <c r="J241" i="11"/>
  <c r="J246" i="12" l="1"/>
  <c r="H247" i="12"/>
  <c r="I246" i="12"/>
  <c r="I242" i="11"/>
  <c r="H243" i="11"/>
  <c r="J242" i="11"/>
  <c r="H248" i="12" l="1"/>
  <c r="I247" i="12"/>
  <c r="J247" i="12"/>
  <c r="H244" i="11"/>
  <c r="I243" i="11"/>
  <c r="J243" i="11"/>
  <c r="H249" i="12" l="1"/>
  <c r="J248" i="12"/>
  <c r="I248" i="12"/>
  <c r="H245" i="11"/>
  <c r="I244" i="11"/>
  <c r="J244" i="11"/>
  <c r="J249" i="12" l="1"/>
  <c r="H250" i="12"/>
  <c r="I249" i="12"/>
  <c r="H246" i="11"/>
  <c r="I245" i="11"/>
  <c r="J245" i="11"/>
  <c r="J250" i="12" l="1"/>
  <c r="H251" i="12"/>
  <c r="I250" i="12"/>
  <c r="I246" i="11"/>
  <c r="H247" i="11"/>
  <c r="J246" i="11"/>
  <c r="H252" i="12" l="1"/>
  <c r="I251" i="12"/>
  <c r="J251" i="12"/>
  <c r="I247" i="11"/>
  <c r="H248" i="11"/>
  <c r="J247" i="11"/>
  <c r="J252" i="12" l="1"/>
  <c r="H253" i="12"/>
  <c r="I252" i="12"/>
  <c r="H249" i="11"/>
  <c r="I248" i="11"/>
  <c r="J248" i="11"/>
  <c r="J253" i="12" l="1"/>
  <c r="H254" i="12"/>
  <c r="I253" i="12"/>
  <c r="I249" i="11"/>
  <c r="H250" i="11"/>
  <c r="J249" i="11"/>
  <c r="J254" i="12" l="1"/>
  <c r="H255" i="12"/>
  <c r="I254" i="12"/>
  <c r="H251" i="11"/>
  <c r="I250" i="11"/>
  <c r="J250" i="11"/>
  <c r="H256" i="12" l="1"/>
  <c r="I255" i="12"/>
  <c r="J255" i="12"/>
  <c r="H252" i="11"/>
  <c r="I251" i="11"/>
  <c r="J251" i="11"/>
  <c r="J256" i="12" l="1"/>
  <c r="I256" i="12"/>
  <c r="H257" i="12"/>
  <c r="I252" i="11"/>
  <c r="H253" i="11"/>
  <c r="J252" i="11"/>
  <c r="J257" i="12" l="1"/>
  <c r="H258" i="12"/>
  <c r="I257" i="12"/>
  <c r="H254" i="11"/>
  <c r="I253" i="11"/>
  <c r="J253" i="11"/>
  <c r="J258" i="12" l="1"/>
  <c r="H259" i="12"/>
  <c r="I258" i="12"/>
  <c r="I254" i="11"/>
  <c r="H255" i="11"/>
  <c r="J254" i="11"/>
  <c r="H260" i="12" l="1"/>
  <c r="I259" i="12"/>
  <c r="J259" i="12"/>
  <c r="H256" i="11"/>
  <c r="I255" i="11"/>
  <c r="J255" i="11"/>
  <c r="J260" i="12" l="1"/>
  <c r="H261" i="12"/>
  <c r="I260" i="12"/>
  <c r="H257" i="11"/>
  <c r="I256" i="11"/>
  <c r="J256" i="11"/>
  <c r="J261" i="12" l="1"/>
  <c r="H262" i="12"/>
  <c r="I261" i="12"/>
  <c r="H258" i="11"/>
  <c r="I257" i="11"/>
  <c r="J257" i="11"/>
  <c r="J262" i="12" l="1"/>
  <c r="H263" i="12"/>
  <c r="I262" i="12"/>
  <c r="I258" i="11"/>
  <c r="H259" i="11"/>
  <c r="J258" i="11"/>
  <c r="H264" i="12" l="1"/>
  <c r="I263" i="12"/>
  <c r="J263" i="12"/>
  <c r="H260" i="11"/>
  <c r="I259" i="11"/>
  <c r="J259" i="11"/>
  <c r="J264" i="12" l="1"/>
  <c r="H265" i="12"/>
  <c r="I264" i="12"/>
  <c r="I260" i="11"/>
  <c r="H261" i="11"/>
  <c r="J260" i="11"/>
  <c r="J265" i="12" l="1"/>
  <c r="H266" i="12"/>
  <c r="I265" i="12"/>
  <c r="H262" i="11"/>
  <c r="I261" i="11"/>
  <c r="J261" i="11"/>
  <c r="J266" i="12" l="1"/>
  <c r="H267" i="12"/>
  <c r="I266" i="12"/>
  <c r="I262" i="11"/>
  <c r="H263" i="11"/>
  <c r="J262" i="11"/>
  <c r="H268" i="12" l="1"/>
  <c r="I267" i="12"/>
  <c r="J267" i="12"/>
  <c r="H264" i="11"/>
  <c r="I263" i="11"/>
  <c r="J263" i="11"/>
  <c r="J268" i="12" l="1"/>
  <c r="H269" i="12"/>
  <c r="I268" i="12"/>
  <c r="H265" i="11"/>
  <c r="I264" i="11"/>
  <c r="J264" i="11"/>
  <c r="J269" i="12" l="1"/>
  <c r="H270" i="12"/>
  <c r="I269" i="12"/>
  <c r="H266" i="11"/>
  <c r="I265" i="11"/>
  <c r="J265" i="11"/>
  <c r="J270" i="12" l="1"/>
  <c r="H271" i="12"/>
  <c r="I270" i="12"/>
  <c r="H267" i="11"/>
  <c r="I266" i="11"/>
  <c r="J266" i="11"/>
  <c r="H272" i="12" l="1"/>
  <c r="I271" i="12"/>
  <c r="J271" i="12"/>
  <c r="H268" i="11"/>
  <c r="I267" i="11"/>
  <c r="J267" i="11"/>
  <c r="J272" i="12" l="1"/>
  <c r="I272" i="12"/>
  <c r="H273" i="12"/>
  <c r="H269" i="11"/>
  <c r="I268" i="11"/>
  <c r="J268" i="11"/>
  <c r="J273" i="12" l="1"/>
  <c r="H274" i="12"/>
  <c r="I273" i="12"/>
  <c r="H270" i="11"/>
  <c r="I269" i="11"/>
  <c r="J269" i="11"/>
  <c r="J274" i="12" l="1"/>
  <c r="H275" i="12"/>
  <c r="I274" i="12"/>
  <c r="H271" i="11"/>
  <c r="I270" i="11"/>
  <c r="J270" i="11"/>
  <c r="H276" i="12" l="1"/>
  <c r="I275" i="12"/>
  <c r="J275" i="12"/>
  <c r="H272" i="11"/>
  <c r="I271" i="11"/>
  <c r="J271" i="11"/>
  <c r="J276" i="12" l="1"/>
  <c r="H277" i="12"/>
  <c r="I276" i="12"/>
  <c r="H273" i="11"/>
  <c r="I272" i="11"/>
  <c r="J272" i="11"/>
  <c r="J277" i="12" l="1"/>
  <c r="H278" i="12"/>
  <c r="I277" i="12"/>
  <c r="I273" i="11"/>
  <c r="H274" i="11"/>
  <c r="J273" i="11"/>
  <c r="J278" i="12" l="1"/>
  <c r="H279" i="12"/>
  <c r="I278" i="12"/>
  <c r="H275" i="11"/>
  <c r="I274" i="11"/>
  <c r="J274" i="11"/>
  <c r="H280" i="12" l="1"/>
  <c r="I279" i="12"/>
  <c r="J279" i="12"/>
  <c r="I275" i="11"/>
  <c r="H276" i="11"/>
  <c r="J275" i="11"/>
  <c r="J280" i="12" l="1"/>
  <c r="H281" i="12"/>
  <c r="I280" i="12"/>
  <c r="H277" i="11"/>
  <c r="I276" i="11"/>
  <c r="J276" i="11"/>
  <c r="J281" i="12" l="1"/>
  <c r="H282" i="12"/>
  <c r="I281" i="12"/>
  <c r="H278" i="11"/>
  <c r="I277" i="11"/>
  <c r="J277" i="11"/>
  <c r="J282" i="12" l="1"/>
  <c r="H283" i="12"/>
  <c r="I282" i="12"/>
  <c r="H279" i="11"/>
  <c r="I278" i="11"/>
  <c r="J278" i="11"/>
  <c r="H284" i="12" l="1"/>
  <c r="I283" i="12"/>
  <c r="J283" i="12"/>
  <c r="H280" i="11"/>
  <c r="I279" i="11"/>
  <c r="J279" i="11"/>
  <c r="H285" i="12" l="1"/>
  <c r="J284" i="12"/>
  <c r="I284" i="12"/>
  <c r="I280" i="11"/>
  <c r="H281" i="11"/>
  <c r="J280" i="11"/>
  <c r="H286" i="12" l="1"/>
  <c r="I285" i="12"/>
  <c r="J285" i="12"/>
  <c r="I281" i="11"/>
  <c r="H282" i="11"/>
  <c r="J281" i="11"/>
  <c r="J286" i="12" l="1"/>
  <c r="I286" i="12"/>
  <c r="H287" i="12"/>
  <c r="I282" i="11"/>
  <c r="H283" i="11"/>
  <c r="J282" i="11"/>
  <c r="J287" i="12" l="1"/>
  <c r="H288" i="12"/>
  <c r="I287" i="12"/>
  <c r="I283" i="11"/>
  <c r="H284" i="11"/>
  <c r="J283" i="11"/>
  <c r="J288" i="12" l="1"/>
  <c r="H289" i="12"/>
  <c r="I288" i="12"/>
  <c r="I284" i="11"/>
  <c r="H285" i="11"/>
  <c r="J284" i="11"/>
  <c r="H290" i="12" l="1"/>
  <c r="I289" i="12"/>
  <c r="J289" i="12"/>
  <c r="I285" i="11"/>
  <c r="H286" i="11"/>
  <c r="J285" i="11"/>
  <c r="H291" i="12" l="1"/>
  <c r="J290" i="12"/>
  <c r="I290" i="12"/>
  <c r="H287" i="11"/>
  <c r="I286" i="11"/>
  <c r="J286" i="11"/>
  <c r="J291" i="12" l="1"/>
  <c r="I291" i="12"/>
  <c r="H292" i="12"/>
  <c r="I287" i="11"/>
  <c r="H288" i="11"/>
  <c r="J287" i="11"/>
  <c r="J292" i="12" l="1"/>
  <c r="H293" i="12"/>
  <c r="I292" i="12"/>
  <c r="H289" i="11"/>
  <c r="I288" i="11"/>
  <c r="J288" i="11"/>
  <c r="H294" i="12" l="1"/>
  <c r="I293" i="12"/>
  <c r="J293" i="12"/>
  <c r="I289" i="11"/>
  <c r="H290" i="11"/>
  <c r="J289" i="11"/>
  <c r="J294" i="12" l="1"/>
  <c r="I294" i="12"/>
  <c r="H295" i="12"/>
  <c r="H291" i="11"/>
  <c r="I290" i="11"/>
  <c r="J290" i="11"/>
  <c r="J295" i="12" l="1"/>
  <c r="H296" i="12"/>
  <c r="I295" i="12"/>
  <c r="H292" i="11"/>
  <c r="I291" i="11"/>
  <c r="J291" i="11"/>
  <c r="J296" i="12" l="1"/>
  <c r="H297" i="12"/>
  <c r="I296" i="12"/>
  <c r="H293" i="11"/>
  <c r="I292" i="11"/>
  <c r="J292" i="11"/>
  <c r="H298" i="12" l="1"/>
  <c r="I297" i="12"/>
  <c r="J297" i="12"/>
  <c r="I293" i="11"/>
  <c r="H294" i="11"/>
  <c r="J293" i="11"/>
  <c r="H299" i="12" l="1"/>
  <c r="J298" i="12"/>
  <c r="I298" i="12"/>
  <c r="H295" i="11"/>
  <c r="I294" i="11"/>
  <c r="J294" i="11"/>
  <c r="J299" i="12" l="1"/>
  <c r="I299" i="12"/>
  <c r="H300" i="12"/>
  <c r="H296" i="11"/>
  <c r="I295" i="11"/>
  <c r="J295" i="11"/>
  <c r="J300" i="12" l="1"/>
  <c r="H301" i="12"/>
  <c r="I300" i="12"/>
  <c r="H297" i="11"/>
  <c r="I296" i="11"/>
  <c r="J296" i="11"/>
  <c r="H302" i="12" l="1"/>
  <c r="I301" i="12"/>
  <c r="J301" i="12"/>
  <c r="H298" i="11"/>
  <c r="I297" i="11"/>
  <c r="J297" i="11"/>
  <c r="J302" i="12" l="1"/>
  <c r="I302" i="12"/>
  <c r="H303" i="12"/>
  <c r="H299" i="11"/>
  <c r="I298" i="11"/>
  <c r="J298" i="11"/>
  <c r="J303" i="12" l="1"/>
  <c r="H304" i="12"/>
  <c r="I303" i="12"/>
  <c r="H300" i="11"/>
  <c r="I299" i="11"/>
  <c r="J299" i="11"/>
  <c r="J304" i="12" l="1"/>
  <c r="H305" i="12"/>
  <c r="I304" i="12"/>
  <c r="I300" i="11"/>
  <c r="H301" i="11"/>
  <c r="J300" i="11"/>
  <c r="H306" i="12" l="1"/>
  <c r="I305" i="12"/>
  <c r="J305" i="12"/>
  <c r="H302" i="11"/>
  <c r="I301" i="11"/>
  <c r="J301" i="11"/>
  <c r="H307" i="12" l="1"/>
  <c r="J306" i="12"/>
  <c r="I306" i="12"/>
  <c r="I302" i="11"/>
  <c r="H303" i="11"/>
  <c r="J302" i="11"/>
  <c r="J307" i="12" l="1"/>
  <c r="I307" i="12"/>
  <c r="H308" i="12"/>
  <c r="I303" i="11"/>
  <c r="H304" i="11"/>
  <c r="J303" i="11"/>
  <c r="J308" i="12" l="1"/>
  <c r="H309" i="12"/>
  <c r="I308" i="12"/>
  <c r="I304" i="11"/>
  <c r="H305" i="11"/>
  <c r="J304" i="11"/>
  <c r="H310" i="12" l="1"/>
  <c r="I309" i="12"/>
  <c r="J309" i="12"/>
  <c r="I305" i="11"/>
  <c r="H306" i="11"/>
  <c r="J305" i="11"/>
  <c r="J310" i="12" l="1"/>
  <c r="I310" i="12"/>
  <c r="H311" i="12"/>
  <c r="H307" i="11"/>
  <c r="I306" i="11"/>
  <c r="J306" i="11"/>
  <c r="J311" i="12" l="1"/>
  <c r="H312" i="12"/>
  <c r="I311" i="12"/>
  <c r="I307" i="11"/>
  <c r="H308" i="11"/>
  <c r="J307" i="11"/>
  <c r="J312" i="12" l="1"/>
  <c r="H313" i="12"/>
  <c r="I312" i="12"/>
  <c r="H309" i="11"/>
  <c r="I308" i="11"/>
  <c r="J308" i="11"/>
  <c r="H314" i="12" l="1"/>
  <c r="I313" i="12"/>
  <c r="J313" i="12"/>
  <c r="I309" i="11"/>
  <c r="H310" i="11"/>
  <c r="J309" i="11"/>
  <c r="H315" i="12" l="1"/>
  <c r="J314" i="12"/>
  <c r="I314" i="12"/>
  <c r="I310" i="11"/>
  <c r="H311" i="11"/>
  <c r="J310" i="11"/>
  <c r="J315" i="12" l="1"/>
  <c r="I315" i="12"/>
  <c r="H316" i="12"/>
  <c r="H312" i="11"/>
  <c r="I311" i="11"/>
  <c r="J311" i="11"/>
  <c r="J316" i="12" l="1"/>
  <c r="H317" i="12"/>
  <c r="I316" i="12"/>
  <c r="I312" i="11"/>
  <c r="H313" i="11"/>
  <c r="J312" i="11"/>
  <c r="H318" i="12" l="1"/>
  <c r="I317" i="12"/>
  <c r="J317" i="12"/>
  <c r="I313" i="11"/>
  <c r="H314" i="11"/>
  <c r="J313" i="11"/>
  <c r="H319" i="12" l="1"/>
  <c r="J318" i="12"/>
  <c r="I318" i="12"/>
  <c r="H315" i="11"/>
  <c r="I314" i="11"/>
  <c r="J314" i="11"/>
  <c r="H320" i="12" l="1"/>
  <c r="I319" i="12"/>
  <c r="J319" i="12"/>
  <c r="I315" i="11"/>
  <c r="H316" i="11"/>
  <c r="J315" i="11"/>
  <c r="J320" i="12" l="1"/>
  <c r="I320" i="12"/>
  <c r="H321" i="12"/>
  <c r="I316" i="11"/>
  <c r="H317" i="11"/>
  <c r="J316" i="11"/>
  <c r="J321" i="12" l="1"/>
  <c r="H322" i="12"/>
  <c r="I321" i="12"/>
  <c r="H318" i="11"/>
  <c r="I317" i="11"/>
  <c r="J317" i="11"/>
  <c r="J322" i="12" l="1"/>
  <c r="H323" i="12"/>
  <c r="I322" i="12"/>
  <c r="I318" i="11"/>
  <c r="H319" i="11"/>
  <c r="J318" i="11"/>
  <c r="H324" i="12" l="1"/>
  <c r="I323" i="12"/>
  <c r="J323" i="12"/>
  <c r="H320" i="11"/>
  <c r="I319" i="11"/>
  <c r="J319" i="11"/>
  <c r="H325" i="12" l="1"/>
  <c r="J324" i="12"/>
  <c r="I324" i="12"/>
  <c r="H321" i="11"/>
  <c r="I320" i="11"/>
  <c r="J320" i="11"/>
  <c r="J325" i="12" l="1"/>
  <c r="I325" i="12"/>
  <c r="H326" i="12"/>
  <c r="I321" i="11"/>
  <c r="H322" i="11"/>
  <c r="J321" i="11"/>
  <c r="J326" i="12" l="1"/>
  <c r="H327" i="12"/>
  <c r="I326" i="12"/>
  <c r="H323" i="11"/>
  <c r="I322" i="11"/>
  <c r="J322" i="11"/>
  <c r="H328" i="12" l="1"/>
  <c r="I327" i="12"/>
  <c r="J327" i="12"/>
  <c r="I323" i="11"/>
  <c r="H324" i="11"/>
  <c r="J323" i="11"/>
  <c r="J328" i="12" l="1"/>
  <c r="I328" i="12"/>
  <c r="H329" i="12"/>
  <c r="I324" i="11"/>
  <c r="H325" i="11"/>
  <c r="J324" i="11"/>
  <c r="J329" i="12" l="1"/>
  <c r="H330" i="12"/>
  <c r="I329" i="12"/>
  <c r="H326" i="11"/>
  <c r="I325" i="11"/>
  <c r="J325" i="11"/>
  <c r="J330" i="12" l="1"/>
  <c r="H331" i="12"/>
  <c r="I330" i="12"/>
  <c r="H327" i="11"/>
  <c r="I326" i="11"/>
  <c r="J326" i="11"/>
  <c r="H332" i="12" l="1"/>
  <c r="I331" i="12"/>
  <c r="J331" i="12"/>
  <c r="H328" i="11"/>
  <c r="I327" i="11"/>
  <c r="J327" i="11"/>
  <c r="H333" i="12" l="1"/>
  <c r="J332" i="12"/>
  <c r="I332" i="12"/>
  <c r="H329" i="11"/>
  <c r="I328" i="11"/>
  <c r="J328" i="11"/>
  <c r="J333" i="12" l="1"/>
  <c r="I333" i="12"/>
  <c r="H334" i="12"/>
  <c r="H330" i="11"/>
  <c r="I329" i="11"/>
  <c r="J329" i="11"/>
  <c r="J334" i="12" l="1"/>
  <c r="H335" i="12"/>
  <c r="I334" i="12"/>
  <c r="I330" i="11"/>
  <c r="H331" i="11"/>
  <c r="J330" i="11"/>
  <c r="H336" i="12" l="1"/>
  <c r="I335" i="12"/>
  <c r="J335" i="12"/>
  <c r="H332" i="11"/>
  <c r="I331" i="11"/>
  <c r="J331" i="11"/>
  <c r="J336" i="12" l="1"/>
  <c r="I336" i="12"/>
  <c r="H337" i="12"/>
  <c r="I332" i="11"/>
  <c r="H333" i="11"/>
  <c r="J332" i="11"/>
  <c r="J337" i="12" l="1"/>
  <c r="H338" i="12"/>
  <c r="I337" i="12"/>
  <c r="H334" i="11"/>
  <c r="I333" i="11"/>
  <c r="J333" i="11"/>
  <c r="J338" i="12" l="1"/>
  <c r="H339" i="12"/>
  <c r="I338" i="12"/>
  <c r="H335" i="11"/>
  <c r="I334" i="11"/>
  <c r="J334" i="11"/>
  <c r="H340" i="12" l="1"/>
  <c r="I339" i="12"/>
  <c r="J339" i="12"/>
  <c r="I335" i="11"/>
  <c r="H336" i="11"/>
  <c r="J335" i="11"/>
  <c r="H341" i="12" l="1"/>
  <c r="J340" i="12"/>
  <c r="I340" i="12"/>
  <c r="I336" i="11"/>
  <c r="H337" i="11"/>
  <c r="J336" i="11"/>
  <c r="J341" i="12" l="1"/>
  <c r="I341" i="12"/>
  <c r="H342" i="12"/>
  <c r="I337" i="11"/>
  <c r="H338" i="11"/>
  <c r="J337" i="11"/>
  <c r="J342" i="12" l="1"/>
  <c r="H343" i="12"/>
  <c r="I342" i="12"/>
  <c r="I338" i="11"/>
  <c r="H339" i="11"/>
  <c r="J338" i="11"/>
  <c r="H344" i="12" l="1"/>
  <c r="I343" i="12"/>
  <c r="J343" i="12"/>
  <c r="I339" i="11"/>
  <c r="H340" i="11"/>
  <c r="H341" i="11" s="1"/>
  <c r="H342" i="11" s="1"/>
  <c r="H343" i="11" s="1"/>
  <c r="H344" i="11" s="1"/>
  <c r="J339" i="11"/>
  <c r="H345" i="12" l="1"/>
  <c r="J344" i="12"/>
  <c r="I344" i="12"/>
  <c r="I340" i="11"/>
  <c r="J340" i="11"/>
  <c r="H346" i="12" l="1"/>
  <c r="J345" i="12"/>
  <c r="I345" i="12"/>
  <c r="I341" i="11"/>
  <c r="J341" i="11"/>
  <c r="H347" i="12" l="1"/>
  <c r="I346" i="12"/>
  <c r="J346" i="12"/>
  <c r="I344" i="11"/>
  <c r="H345" i="11"/>
  <c r="J344" i="11"/>
  <c r="L348" i="12" l="1"/>
  <c r="K10" i="12"/>
  <c r="H348" i="12"/>
  <c r="I347" i="12"/>
  <c r="J347" i="12"/>
  <c r="I345" i="11"/>
  <c r="H346" i="11"/>
  <c r="J345" i="11"/>
  <c r="J348" i="12" l="1"/>
  <c r="I348" i="12"/>
  <c r="H349" i="12"/>
  <c r="I346" i="11"/>
  <c r="H347" i="11"/>
  <c r="J346" i="11"/>
  <c r="J349" i="12" l="1"/>
  <c r="H350" i="12"/>
  <c r="I349" i="12"/>
  <c r="I347" i="11"/>
  <c r="H348" i="11"/>
  <c r="H349" i="11" s="1"/>
  <c r="H350" i="11" s="1"/>
  <c r="H351" i="11" s="1"/>
  <c r="H352" i="11" s="1"/>
  <c r="J347" i="11"/>
  <c r="L343" i="11"/>
  <c r="K10" i="11"/>
  <c r="J350" i="12" l="1"/>
  <c r="H351" i="12"/>
  <c r="I350" i="12"/>
  <c r="I348" i="11"/>
  <c r="J348" i="11"/>
  <c r="H352" i="12" l="1"/>
  <c r="I351" i="12"/>
  <c r="J351" i="12"/>
  <c r="I342" i="11"/>
  <c r="J342" i="11"/>
  <c r="H353" i="12" l="1"/>
  <c r="J352" i="12"/>
  <c r="I352" i="12"/>
  <c r="I343" i="11"/>
  <c r="J343" i="11"/>
  <c r="J353" i="12" l="1"/>
  <c r="I353" i="12"/>
  <c r="H354" i="12"/>
  <c r="I349" i="11"/>
  <c r="J349" i="11"/>
  <c r="J354" i="12" l="1"/>
  <c r="H355" i="12"/>
  <c r="I354" i="12"/>
  <c r="I350" i="11"/>
  <c r="J350" i="11"/>
  <c r="H356" i="12" l="1"/>
  <c r="I355" i="12"/>
  <c r="J355" i="12"/>
  <c r="I351" i="11"/>
  <c r="J351" i="11"/>
  <c r="J356" i="12" l="1"/>
  <c r="I356" i="12"/>
  <c r="H357" i="12"/>
  <c r="J352" i="11"/>
  <c r="H353" i="11"/>
  <c r="I352" i="11"/>
  <c r="J357" i="12" l="1"/>
  <c r="H358" i="12"/>
  <c r="I357" i="12"/>
  <c r="I353" i="11"/>
  <c r="J353" i="11"/>
  <c r="H354" i="11"/>
  <c r="J358" i="12" l="1"/>
  <c r="H359" i="12"/>
  <c r="I358" i="12"/>
  <c r="I354" i="11"/>
  <c r="J354" i="11"/>
  <c r="H355" i="11"/>
  <c r="H360" i="12" l="1"/>
  <c r="I359" i="12"/>
  <c r="J359" i="12"/>
  <c r="I355" i="11"/>
  <c r="H356" i="11"/>
  <c r="J355" i="11"/>
  <c r="H361" i="12" l="1"/>
  <c r="J360" i="12"/>
  <c r="I360" i="12"/>
  <c r="I356" i="11"/>
  <c r="J356" i="11"/>
  <c r="H357" i="11"/>
  <c r="J361" i="12" l="1"/>
  <c r="I361" i="12"/>
  <c r="H362" i="12"/>
  <c r="I357" i="11"/>
  <c r="J357" i="11"/>
  <c r="H358" i="11"/>
  <c r="J362" i="12" l="1"/>
  <c r="H363" i="12"/>
  <c r="I362" i="12"/>
  <c r="I358" i="11"/>
  <c r="J358" i="11"/>
  <c r="H359" i="11"/>
  <c r="H364" i="12" l="1"/>
  <c r="I363" i="12"/>
  <c r="J363" i="12"/>
  <c r="I359" i="11"/>
  <c r="J359" i="11"/>
  <c r="H360" i="11"/>
  <c r="J364" i="12" l="1"/>
  <c r="I364" i="12"/>
  <c r="H365" i="12"/>
  <c r="I360" i="11"/>
  <c r="J360" i="11"/>
  <c r="H361" i="11"/>
  <c r="J365" i="12" l="1"/>
  <c r="H366" i="12"/>
  <c r="I365" i="12"/>
  <c r="H362" i="11"/>
  <c r="J361" i="11"/>
  <c r="I361" i="11"/>
  <c r="J366" i="12" l="1"/>
  <c r="H367" i="12"/>
  <c r="I366" i="12"/>
  <c r="H363" i="11"/>
  <c r="J362" i="11"/>
  <c r="I362" i="11"/>
  <c r="H368" i="12" l="1"/>
  <c r="I367" i="12"/>
  <c r="J367" i="12"/>
  <c r="I363" i="11"/>
  <c r="J363" i="11"/>
  <c r="H364" i="11"/>
  <c r="H369" i="12" l="1"/>
  <c r="J368" i="12"/>
  <c r="I368" i="12"/>
  <c r="I364" i="11"/>
  <c r="J364" i="11"/>
  <c r="H365" i="11"/>
  <c r="J369" i="12" l="1"/>
  <c r="I369" i="12"/>
  <c r="H370" i="12"/>
  <c r="I365" i="11"/>
  <c r="J365" i="11"/>
  <c r="H366" i="11"/>
  <c r="J370" i="12" l="1"/>
  <c r="H371" i="12"/>
  <c r="I370" i="12"/>
  <c r="H367" i="11"/>
  <c r="J366" i="11"/>
  <c r="I366" i="11"/>
  <c r="H372" i="12" l="1"/>
  <c r="I371" i="12"/>
  <c r="J371" i="12"/>
  <c r="I367" i="11"/>
  <c r="H368" i="11"/>
  <c r="J367" i="11"/>
  <c r="H1" i="9"/>
  <c r="H4" i="9" l="1"/>
  <c r="H5" i="9"/>
  <c r="H6" i="9"/>
  <c r="H8" i="9"/>
  <c r="H9" i="9"/>
  <c r="H3" i="9"/>
  <c r="H2" i="9"/>
  <c r="H7" i="9"/>
  <c r="H10" i="9"/>
  <c r="H11" i="9"/>
  <c r="J372" i="12"/>
  <c r="I372" i="12"/>
  <c r="H373" i="12"/>
  <c r="I368" i="11"/>
  <c r="J368" i="11"/>
  <c r="H369" i="11"/>
  <c r="H18" i="9"/>
  <c r="I13" i="9"/>
  <c r="H16" i="9" l="1"/>
  <c r="H15" i="9"/>
  <c r="H20" i="9"/>
  <c r="H34" i="9"/>
  <c r="H22" i="9"/>
  <c r="H23" i="9"/>
  <c r="H24" i="9"/>
  <c r="H25" i="9"/>
  <c r="H26" i="9"/>
  <c r="H27" i="9"/>
  <c r="H28" i="9"/>
  <c r="H29" i="9"/>
  <c r="H30" i="9"/>
  <c r="H31" i="9"/>
  <c r="H32" i="9"/>
  <c r="H33" i="9"/>
  <c r="H21" i="9"/>
  <c r="J373" i="12"/>
  <c r="H374" i="12"/>
  <c r="I373" i="12"/>
  <c r="I369" i="11"/>
  <c r="J369" i="11"/>
  <c r="H370" i="11"/>
  <c r="L4" i="9"/>
  <c r="J374" i="12" l="1"/>
  <c r="H375" i="12"/>
  <c r="I374" i="12"/>
  <c r="H371" i="11"/>
  <c r="J370" i="11"/>
  <c r="I370" i="11"/>
  <c r="AH9" i="7"/>
  <c r="AH12" i="7"/>
  <c r="AH14" i="7"/>
  <c r="AH15" i="7"/>
  <c r="AH16" i="7"/>
  <c r="AH17" i="7"/>
  <c r="H376" i="12" l="1"/>
  <c r="I375" i="12"/>
  <c r="J375" i="12"/>
  <c r="H372" i="11"/>
  <c r="J371" i="11"/>
  <c r="I371" i="11"/>
  <c r="AH18" i="7"/>
  <c r="H377" i="12" l="1"/>
  <c r="J376" i="12"/>
  <c r="I376" i="12"/>
  <c r="H373" i="11"/>
  <c r="J372" i="11"/>
  <c r="I372" i="11"/>
  <c r="L8" i="9"/>
  <c r="J377" i="12" l="1"/>
  <c r="I377" i="12"/>
  <c r="H378" i="12"/>
  <c r="H374" i="11"/>
  <c r="J373" i="11"/>
  <c r="I373" i="11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H35" i="7"/>
  <c r="AH36" i="7"/>
  <c r="J378" i="12" l="1"/>
  <c r="H379" i="12"/>
  <c r="I378" i="12"/>
  <c r="I374" i="11"/>
  <c r="H375" i="11"/>
  <c r="J374" i="11"/>
  <c r="AH5" i="7"/>
  <c r="AF10" i="7" s="1"/>
  <c r="AH10" i="7" s="1"/>
  <c r="H380" i="12" l="1"/>
  <c r="I379" i="12"/>
  <c r="J379" i="12"/>
  <c r="H376" i="11"/>
  <c r="J375" i="11"/>
  <c r="I375" i="11"/>
  <c r="AF13" i="7"/>
  <c r="AH13" i="7" s="1"/>
  <c r="AF14" i="7"/>
  <c r="AF18" i="7"/>
  <c r="AF22" i="7"/>
  <c r="AF26" i="7"/>
  <c r="AF30" i="7"/>
  <c r="AF34" i="7"/>
  <c r="AF11" i="7"/>
  <c r="AH11" i="7" s="1"/>
  <c r="AF15" i="7"/>
  <c r="AF19" i="7"/>
  <c r="AF23" i="7"/>
  <c r="AF27" i="7"/>
  <c r="AF31" i="7"/>
  <c r="AF35" i="7"/>
  <c r="AF12" i="7"/>
  <c r="AF16" i="7"/>
  <c r="AF20" i="7"/>
  <c r="AF24" i="7"/>
  <c r="AF28" i="7"/>
  <c r="AF32" i="7"/>
  <c r="AF36" i="7"/>
  <c r="AF17" i="7"/>
  <c r="AF21" i="7"/>
  <c r="AF25" i="7"/>
  <c r="AF29" i="7"/>
  <c r="AF33" i="7"/>
  <c r="AF8" i="7"/>
  <c r="AH8" i="7" s="1"/>
  <c r="AF9" i="7"/>
  <c r="J380" i="12" l="1"/>
  <c r="I380" i="12"/>
  <c r="H381" i="12"/>
  <c r="I376" i="11"/>
  <c r="J376" i="11"/>
  <c r="H377" i="11"/>
  <c r="C49" i="7"/>
  <c r="S46" i="7" s="1"/>
  <c r="S45" i="7"/>
  <c r="J381" i="12" l="1"/>
  <c r="H382" i="12"/>
  <c r="I381" i="12"/>
  <c r="I377" i="11"/>
  <c r="J377" i="11"/>
  <c r="H378" i="11"/>
  <c r="AF37" i="7"/>
  <c r="S49" i="7" s="1"/>
  <c r="S48" i="7"/>
  <c r="H383" i="12" l="1"/>
  <c r="I382" i="12"/>
  <c r="J382" i="12"/>
  <c r="I378" i="11"/>
  <c r="J378" i="11"/>
  <c r="H379" i="11"/>
  <c r="S50" i="7"/>
  <c r="S53" i="7" s="1"/>
  <c r="J383" i="12" l="1"/>
  <c r="I383" i="12"/>
  <c r="H384" i="12"/>
  <c r="H380" i="11"/>
  <c r="J379" i="11"/>
  <c r="I379" i="11"/>
  <c r="J384" i="12" l="1"/>
  <c r="H385" i="12"/>
  <c r="I384" i="12"/>
  <c r="H381" i="11"/>
  <c r="J380" i="11"/>
  <c r="I380" i="11"/>
  <c r="J385" i="12" l="1"/>
  <c r="I385" i="12"/>
  <c r="H386" i="12"/>
  <c r="H387" i="12" s="1"/>
  <c r="I381" i="11"/>
  <c r="J381" i="11"/>
  <c r="H382" i="11"/>
  <c r="J386" i="12" l="1"/>
  <c r="I386" i="12"/>
  <c r="I382" i="11"/>
  <c r="J382" i="11"/>
  <c r="H383" i="11"/>
  <c r="I383" i="11" l="1"/>
  <c r="J383" i="11"/>
  <c r="H384" i="11"/>
  <c r="H388" i="12" l="1"/>
  <c r="J387" i="12"/>
  <c r="I387" i="12"/>
  <c r="I384" i="11"/>
  <c r="J384" i="11"/>
  <c r="H385" i="11"/>
  <c r="H389" i="12" l="1"/>
  <c r="J388" i="12"/>
  <c r="I388" i="12"/>
  <c r="H386" i="11"/>
  <c r="J385" i="11"/>
  <c r="I385" i="11"/>
  <c r="J389" i="12" l="1"/>
  <c r="I389" i="12"/>
  <c r="H387" i="11"/>
  <c r="L385" i="11"/>
  <c r="J386" i="11"/>
  <c r="I386" i="11"/>
  <c r="L388" i="11" s="1"/>
  <c r="J387" i="11" l="1"/>
  <c r="I387" i="11"/>
</calcChain>
</file>

<file path=xl/sharedStrings.xml><?xml version="1.0" encoding="utf-8"?>
<sst xmlns="http://schemas.openxmlformats.org/spreadsheetml/2006/main" count="1801" uniqueCount="185">
  <si>
    <t>WELL:</t>
  </si>
  <si>
    <t>RIG:</t>
  </si>
  <si>
    <t>BLK WT:</t>
  </si>
  <si>
    <t>WEIGHT:</t>
  </si>
  <si>
    <t>MW:</t>
  </si>
  <si>
    <t>GRADE:</t>
  </si>
  <si>
    <t>BF:</t>
  </si>
  <si>
    <t xml:space="preserve"> </t>
  </si>
  <si>
    <t>IN</t>
  </si>
  <si>
    <t>MAKE UP LOSS:</t>
  </si>
  <si>
    <t>OUT</t>
  </si>
  <si>
    <t>RKB</t>
  </si>
  <si>
    <t>DATE:</t>
  </si>
  <si>
    <t>BAKER HUGHES</t>
  </si>
  <si>
    <t>LOCATOR SUB</t>
  </si>
  <si>
    <t>LOCATOR NO-GO</t>
  </si>
  <si>
    <t>PUP JOINT</t>
  </si>
  <si>
    <t xml:space="preserve">BAKER LOCATOR ASSY. </t>
  </si>
  <si>
    <t xml:space="preserve">PREMIER PKR </t>
  </si>
  <si>
    <t>out</t>
  </si>
  <si>
    <t>FT</t>
  </si>
  <si>
    <t>9-5/8" Couplings at:</t>
  </si>
  <si>
    <t>All measurements in feet (ft)</t>
  </si>
  <si>
    <t>Mechanical Completion Space Out Calculations</t>
  </si>
  <si>
    <t>Landing</t>
  </si>
  <si>
    <t>Length</t>
  </si>
  <si>
    <t>Eff Length</t>
  </si>
  <si>
    <t>String</t>
  </si>
  <si>
    <t>Space</t>
  </si>
  <si>
    <t>THRT</t>
  </si>
  <si>
    <t>above</t>
  </si>
  <si>
    <t>Hgr Load Shldr</t>
  </si>
  <si>
    <t>below</t>
  </si>
  <si>
    <t>pups</t>
  </si>
  <si>
    <t>Prod Pkr Element</t>
  </si>
  <si>
    <t>pup</t>
  </si>
  <si>
    <t>Locator NoGo</t>
  </si>
  <si>
    <t>PBR Top</t>
  </si>
  <si>
    <t>EOT Muleshoe</t>
  </si>
  <si>
    <t>Top Liner Pkr</t>
  </si>
  <si>
    <t>LANDED POSITION</t>
  </si>
  <si>
    <t>LOCATE POSITION</t>
  </si>
  <si>
    <t>Actual Pup Length</t>
  </si>
  <si>
    <t>Effective Length of Space Out Joint Below RKB</t>
  </si>
  <si>
    <t>Required Pup Length Calculations</t>
  </si>
  <si>
    <t xml:space="preserve">Total Length Out </t>
  </si>
  <si>
    <t>Length Out</t>
  </si>
  <si>
    <t>Length In</t>
  </si>
  <si>
    <t>Elevation = RKB to Hanger Load Shoulder</t>
  </si>
  <si>
    <t>Locator NoGo from Locate to Landed Position</t>
  </si>
  <si>
    <t>Hanger load shoulder to hanger assembly bottom</t>
  </si>
  <si>
    <t>Ideal Pups Req'd to Land w/ Neutral Wgt</t>
  </si>
  <si>
    <t>Length  In = Elevation + Hanger Assembly</t>
  </si>
  <si>
    <t>Actual Pup Length Used</t>
  </si>
  <si>
    <t>Difference (- short, + long)</t>
  </si>
  <si>
    <t>Tolerance (-1, +1) ft</t>
  </si>
  <si>
    <t>PKR ELEMENT</t>
  </si>
  <si>
    <t>COMMENTS</t>
  </si>
  <si>
    <t>JOINTS RUN</t>
  </si>
  <si>
    <t>NO.</t>
  </si>
  <si>
    <t>TYPE</t>
  </si>
  <si>
    <t>JOINT NO:</t>
  </si>
  <si>
    <t>JOINT LENGTH</t>
  </si>
  <si>
    <t>EFFECTIVE LENGTH</t>
  </si>
  <si>
    <t>JOINT IN/OUT</t>
  </si>
  <si>
    <t>TOTAL LENGTH</t>
  </si>
  <si>
    <t>DEPTH OF TOP OF JT.</t>
  </si>
  <si>
    <t xml:space="preserve">EST STRG WEIGHT </t>
  </si>
  <si>
    <t>TBG SIZE:</t>
  </si>
  <si>
    <t>SM2535-110</t>
  </si>
  <si>
    <t xml:space="preserve">7"  </t>
  </si>
  <si>
    <t>Collar</t>
  </si>
  <si>
    <t>7" PUP JOINT</t>
  </si>
  <si>
    <t>7" FLOW COUPLING</t>
  </si>
  <si>
    <t>WFD TRSCSSV</t>
  </si>
  <si>
    <t xml:space="preserve">Effective Length 7" Laid Down    </t>
  </si>
  <si>
    <t>TRSCSSV</t>
  </si>
  <si>
    <t>#</t>
  </si>
  <si>
    <t>Number</t>
  </si>
  <si>
    <t>Location</t>
  </si>
  <si>
    <t>7" 26# Csg Joints</t>
  </si>
  <si>
    <t>Locator NOGO</t>
  </si>
  <si>
    <t>7" TOL</t>
  </si>
  <si>
    <t>Casing Correction Factor</t>
  </si>
  <si>
    <t>SPACE OUT FACTOR</t>
  </si>
  <si>
    <t>Ahmed Masood</t>
  </si>
  <si>
    <t>TH + PUP JT</t>
  </si>
  <si>
    <t>RKB - TH LOAD SHOULDER</t>
  </si>
  <si>
    <t>CAMERON PRIMARY TH</t>
  </si>
  <si>
    <t xml:space="preserve">7" TOL: </t>
  </si>
  <si>
    <t>PN: 2201888-6000062</t>
  </si>
  <si>
    <t>SHL LAND OUT:</t>
  </si>
  <si>
    <t>7IN COMPLETION TALLY</t>
  </si>
  <si>
    <t>TUBING WITH SHL:</t>
  </si>
  <si>
    <t>7" 26# VTHC MU LOSS:</t>
  </si>
  <si>
    <t>7" SHOE:</t>
  </si>
  <si>
    <t>TOTAL DEPTH:</t>
  </si>
  <si>
    <t>QG PERSONNEL:</t>
  </si>
  <si>
    <t>BAKER HUGHES:</t>
  </si>
  <si>
    <t>Packer Elements depth -- distance from collars</t>
  </si>
  <si>
    <t>Landing String:</t>
  </si>
  <si>
    <t>Difference (- Outside, + Inside)</t>
  </si>
  <si>
    <t>Drift ID:</t>
  </si>
  <si>
    <t>Nom ID:</t>
  </si>
  <si>
    <t xml:space="preserve">SPACE-OUT JOINT </t>
  </si>
  <si>
    <t>7 5/8" Landing joints Vam Top HC</t>
  </si>
  <si>
    <t>7 5/8" Landing PJ's Vam Top HC</t>
  </si>
  <si>
    <t>W/O Threads (4.868")</t>
  </si>
  <si>
    <t>1,400 ft Spool</t>
  </si>
  <si>
    <t>FSSD: 2,000 ft</t>
  </si>
  <si>
    <t>TORQUE 7-5/8" 33.7# VTHC-NA</t>
  </si>
  <si>
    <t>15,300, 17,000, 18,700 ft-lbs</t>
  </si>
  <si>
    <t>TORQUE 7" 26# VTHC</t>
  </si>
  <si>
    <t>13,700, 15,200, 16,700 ft-lbs</t>
  </si>
  <si>
    <t>Space Out Factor For Tally</t>
  </si>
  <si>
    <t>Space Out Factor for Tally</t>
  </si>
  <si>
    <t>No-Go to Shear Ring: 16.16'</t>
  </si>
  <si>
    <t>Top Collar to Top PIP: 4.00'</t>
  </si>
  <si>
    <t>Top PIP to Btm PIP: 10.15'</t>
  </si>
  <si>
    <t>Max OD: 9.430", Min ID: 5.963"</t>
  </si>
  <si>
    <t xml:space="preserve">WEATHERFORD TRSCSSV (7.5K, V1)        </t>
  </si>
  <si>
    <t>7" 26# Pup Joints</t>
  </si>
  <si>
    <t>Space-Out Jt</t>
  </si>
  <si>
    <t>7" 26# PUP Joint, VTHC</t>
  </si>
  <si>
    <t xml:space="preserve">TRSCSSV: </t>
  </si>
  <si>
    <t>Stick Up:</t>
  </si>
  <si>
    <t>NFQ17-1</t>
  </si>
  <si>
    <t>ENERGY ENTICER</t>
  </si>
  <si>
    <t>(QG-7IN-SHL-92)</t>
  </si>
  <si>
    <t xml:space="preserve"> SN: 108230990-01</t>
  </si>
  <si>
    <t>PN: H297552163GRG1</t>
  </si>
  <si>
    <t>SHEAR SCREWS: 6 PINS</t>
  </si>
  <si>
    <t>(QG-7IN-PP-94)</t>
  </si>
  <si>
    <t>SN: 108174004-01</t>
  </si>
  <si>
    <t>Top PIP to Top Cut Zone: 4.05'</t>
  </si>
  <si>
    <t>Top PIP to Btm Cut Zone: 6.29'</t>
  </si>
  <si>
    <t>RIH 10-3/4" X-Over: 1360.60 ft</t>
  </si>
  <si>
    <t>VAM TOP HC</t>
  </si>
  <si>
    <t>CONN:</t>
  </si>
  <si>
    <t>TRSSSV DEPTH:</t>
  </si>
  <si>
    <t>END OF MULE SHOE:</t>
  </si>
  <si>
    <t>BAKER PREMIER PACKER, 831-600</t>
  </si>
  <si>
    <t>Shear to End of M/Shoe: 3.39'</t>
  </si>
  <si>
    <t>SN: 121839726001</t>
  </si>
  <si>
    <t>Chad Coffman / Kaan Kaplan</t>
  </si>
  <si>
    <t>SOJ-01</t>
  </si>
  <si>
    <t>Opening Pressure: 3,000 psi</t>
  </si>
  <si>
    <t>Closing: 1,100 psi</t>
  </si>
  <si>
    <t>Bleed back volume: 254 ml @ 8,500psi</t>
  </si>
  <si>
    <t>SN: 10371350-1</t>
  </si>
  <si>
    <t>QG-TRSV-NFQ17-1</t>
  </si>
  <si>
    <t>From NFQ17-3</t>
  </si>
  <si>
    <t>7" 26# Csg, VTHC</t>
  </si>
  <si>
    <t>Space-Out: 268</t>
  </si>
  <si>
    <t>**Deck No: 268</t>
  </si>
  <si>
    <t>Derrick - LS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</si>
  <si>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</si>
  <si>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</si>
  <si>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</si>
  <si>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</si>
  <si>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</si>
  <si>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</si>
  <si>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</si>
  <si>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</si>
  <si>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</si>
  <si>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</si>
  <si>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PJ-E</t>
  </si>
  <si>
    <t>PJ-G</t>
  </si>
  <si>
    <t>PJ-I</t>
  </si>
  <si>
    <t xml:space="preserve">Effective Length 7" PJ-I Laid Down    </t>
  </si>
  <si>
    <t>Balance: 16 jts</t>
  </si>
  <si>
    <t>Stick-Up with PJ-I:</t>
  </si>
  <si>
    <t>**Damaged while RIH</t>
  </si>
  <si>
    <t>**Last Jt RIH Deck # 15</t>
  </si>
  <si>
    <t>35 Joints above TRSCSSV + 1 Space Out Joint + 14 Spare Joints + 2 Damage = 52 Jts</t>
  </si>
  <si>
    <t>9 x 6 Unstrapped Jts = 54 Jts</t>
  </si>
  <si>
    <r>
      <t xml:space="preserve">DRAFT - </t>
    </r>
    <r>
      <rPr>
        <b/>
        <sz val="9"/>
        <color theme="1"/>
        <rFont val="Geneva"/>
      </rPr>
      <t>Rev01</t>
    </r>
  </si>
  <si>
    <t>54 Jts unstrapped</t>
  </si>
  <si>
    <t>**Damaged</t>
  </si>
  <si>
    <t>FINAL - AS RUN</t>
  </si>
  <si>
    <t>10-3/4" X-Over: 1360.60 ft</t>
  </si>
  <si>
    <t>Used</t>
  </si>
  <si>
    <t>-</t>
  </si>
  <si>
    <t>PJ-C</t>
  </si>
  <si>
    <t>PJ-D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</si>
</sst>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"/>
    <numFmt numFmtId="165" formatCode="0.0\ &quot;PPG&quot;"/>
    <numFmt numFmtId="166" formatCode="0\ &quot;K&quot;"/>
    <numFmt numFmtId="167" formatCode="0.0\ &quot;PPF&quot;"/>
    <numFmt numFmtId="168" formatCode="0.00\ &quot;ft&quot;"/>
    <numFmt numFmtId="169" formatCode="[$-409]d\-mmm\-yy;@"/>
    <numFmt numFmtId="170" formatCode="0.000\ &quot;ft&quot;"/>
    <numFmt numFmtId="171" formatCode="#,##0.000"/>
    <numFmt numFmtId="172" formatCode="0.000\ &quot;in&quot;"/>
    <numFmt numFmtId="173" formatCode="0.0\ &quot;ft&quot;"/>
    <numFmt numFmtId="174" formatCode="0.00\ &quot;PPG&quot;"/>
  </numFmts>
  <fonts count="53">
    <font>
      <sz val="10"/>
      <name val="Genev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Geneva"/>
    </font>
    <font>
      <sz val="10"/>
      <name val="Geneva"/>
    </font>
    <font>
      <b/>
      <sz val="9"/>
      <name val="Geneva"/>
    </font>
    <font>
      <b/>
      <sz val="12"/>
      <name val="Geneva"/>
    </font>
    <font>
      <sz val="9"/>
      <name val="Geneva"/>
    </font>
    <font>
      <b/>
      <sz val="14"/>
      <name val="Geneva"/>
    </font>
    <font>
      <b/>
      <shadow/>
      <sz val="14"/>
      <color indexed="12"/>
      <name val="Geneva"/>
    </font>
    <font>
      <sz val="8"/>
      <name val="Geneva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0"/>
      <name val="Geneva"/>
    </font>
    <font>
      <b/>
      <sz val="8"/>
      <name val="Geneva"/>
    </font>
    <font>
      <sz val="8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sz val="10"/>
      <color indexed="1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i/>
      <sz val="8"/>
      <name val="Arial"/>
      <family val="2"/>
    </font>
    <font>
      <sz val="10"/>
      <name val="Times New Roman"/>
      <family val="1"/>
    </font>
    <font>
      <b/>
      <sz val="9"/>
      <color theme="0"/>
      <name val="Geneva"/>
    </font>
    <font>
      <b/>
      <sz val="9"/>
      <color rgb="FFFF0000"/>
      <name val="Geneva"/>
    </font>
    <font>
      <sz val="11"/>
      <color rgb="FFFF0000"/>
      <name val="Arial"/>
      <family val="2"/>
    </font>
    <font>
      <b/>
      <sz val="8"/>
      <color theme="0"/>
      <name val="Geneva"/>
    </font>
    <font>
      <b/>
      <sz val="11"/>
      <name val="Geneva"/>
    </font>
    <font>
      <b/>
      <sz val="10"/>
      <color theme="1"/>
      <name val="Geneva"/>
    </font>
    <font>
      <b/>
      <sz val="9"/>
      <color theme="1"/>
      <name val="Calibri"/>
      <family val="2"/>
      <scheme val="minor"/>
    </font>
    <font>
      <b/>
      <sz val="9"/>
      <color theme="1"/>
      <name val="Geneva"/>
    </font>
    <font>
      <sz val="9"/>
      <color theme="0"/>
      <name val="Geneva"/>
    </font>
    <font>
      <sz val="10"/>
      <color theme="0"/>
      <name val="Geneva"/>
    </font>
    <font>
      <b/>
      <sz val="10"/>
      <color theme="0"/>
      <name val="Geneva"/>
    </font>
    <font>
      <b/>
      <sz val="9"/>
      <color rgb="FF0070C0"/>
      <name val="Geneva"/>
    </font>
    <font>
      <b/>
      <sz val="10"/>
      <color rgb="FF7030A0"/>
      <name val="Geneva"/>
    </font>
    <font>
      <b/>
      <sz val="10"/>
      <color rgb="FFFF0000"/>
      <name val="Geneva"/>
    </font>
    <font>
      <i/>
      <sz val="8"/>
      <color rgb="FFFF0000"/>
      <name val="Geneva"/>
    </font>
    <font>
      <sz val="9"/>
      <color theme="1"/>
      <name val="Arial"/>
      <family val="2"/>
    </font>
    <font>
      <b/>
      <sz val="8.5"/>
      <color theme="1"/>
      <name val="Geneva"/>
    </font>
    <font>
      <sz val="9"/>
      <color rgb="FFFF0000"/>
      <name val="Geneva"/>
    </font>
    <font>
      <sz val="8"/>
      <color rgb="FF0070C0"/>
      <name val="Arial"/>
      <family val="2"/>
    </font>
    <font>
      <b/>
      <sz val="9"/>
      <color rgb="FF7030A0"/>
      <name val="Arial"/>
      <family val="2"/>
    </font>
    <font>
      <b/>
      <sz val="12"/>
      <color theme="1"/>
      <name val="Geneva"/>
    </font>
    <font>
      <b/>
      <sz val="9"/>
      <color theme="1"/>
      <name val="Arial"/>
      <family val="2"/>
    </font>
    <font>
      <sz val="12"/>
      <name val="Geneva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b/>
      <sz val="12"/>
      <color theme="0"/>
      <name val="Geneva"/>
    </font>
  </fonts>
  <fills count="3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darkDown">
        <bgColor theme="1"/>
      </patternFill>
    </fill>
    <fill>
      <patternFill patternType="darkUp">
        <bgColor theme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D22E5D"/>
        <bgColor indexed="64"/>
      </patternFill>
    </fill>
    <fill>
      <patternFill patternType="solid">
        <fgColor rgb="FFB9B147"/>
        <bgColor indexed="64"/>
      </patternFill>
    </fill>
    <fill>
      <patternFill patternType="lightTrellis">
        <fgColor auto="1"/>
        <bgColor rgb="FF66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auto="1"/>
      </patternFill>
    </fill>
  </fills>
  <borders count="1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thick">
        <color indexed="64"/>
      </left>
      <right/>
      <top style="dashed">
        <color indexed="64"/>
      </top>
      <bottom/>
      <diagonal/>
    </border>
    <border>
      <left/>
      <right style="thick">
        <color indexed="64"/>
      </right>
      <top style="dashed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dashed">
        <color indexed="1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dashed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theme="9"/>
      </right>
      <top/>
      <bottom/>
      <diagonal/>
    </border>
    <border>
      <left style="thick">
        <color theme="9"/>
      </left>
      <right style="thick">
        <color theme="9"/>
      </right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 style="thick">
        <color theme="1"/>
      </right>
      <top/>
      <bottom style="dashed">
        <color indexed="64"/>
      </bottom>
      <diagonal/>
    </border>
    <border>
      <left style="thick">
        <color theme="1"/>
      </left>
      <right style="thick">
        <color theme="1"/>
      </right>
      <top/>
      <bottom style="dashed">
        <color indexed="64"/>
      </bottom>
      <diagonal/>
    </border>
    <border>
      <left/>
      <right style="thick">
        <color theme="9"/>
      </right>
      <top style="dashed">
        <color indexed="64"/>
      </top>
      <bottom/>
      <diagonal/>
    </border>
    <border>
      <left style="thick">
        <color theme="9"/>
      </left>
      <right style="thick">
        <color theme="9"/>
      </right>
      <top/>
      <bottom style="thick">
        <color theme="9"/>
      </bottom>
      <diagonal/>
    </border>
    <border>
      <left/>
      <right style="thick">
        <color theme="1"/>
      </right>
      <top style="dashed">
        <color indexed="64"/>
      </top>
      <bottom/>
      <diagonal/>
    </border>
    <border>
      <left style="thick">
        <color theme="1"/>
      </left>
      <right style="thick">
        <color theme="1"/>
      </right>
      <top style="dashed">
        <color indexed="64"/>
      </top>
      <bottom/>
      <diagonal/>
    </border>
    <border>
      <left/>
      <right/>
      <top/>
      <bottom style="thick">
        <color theme="9"/>
      </bottom>
      <diagonal/>
    </border>
    <border>
      <left/>
      <right style="thick">
        <color theme="9"/>
      </right>
      <top/>
      <bottom style="thick">
        <color theme="9"/>
      </bottom>
      <diagonal/>
    </border>
    <border>
      <left style="thick">
        <color indexed="64"/>
      </left>
      <right style="thick">
        <color theme="9"/>
      </right>
      <top/>
      <bottom style="thick">
        <color indexed="64"/>
      </bottom>
      <diagonal/>
    </border>
    <border>
      <left style="thick">
        <color theme="9"/>
      </left>
      <right/>
      <top style="thick">
        <color theme="9"/>
      </top>
      <bottom style="thick">
        <color theme="9"/>
      </bottom>
      <diagonal/>
    </border>
    <border>
      <left/>
      <right/>
      <top style="thick">
        <color theme="9"/>
      </top>
      <bottom style="thick">
        <color theme="9"/>
      </bottom>
      <diagonal/>
    </border>
    <border>
      <left/>
      <right style="thick">
        <color theme="9"/>
      </right>
      <top style="thick">
        <color theme="9"/>
      </top>
      <bottom style="thick">
        <color theme="9"/>
      </bottom>
      <diagonal/>
    </border>
    <border>
      <left/>
      <right style="thick">
        <color theme="9"/>
      </right>
      <top style="thick">
        <color theme="9"/>
      </top>
      <bottom/>
      <diagonal/>
    </border>
    <border>
      <left style="thick">
        <color theme="9"/>
      </left>
      <right style="thick">
        <color theme="9"/>
      </right>
      <top style="dashed">
        <color indexed="14"/>
      </top>
      <bottom/>
      <diagonal/>
    </border>
    <border>
      <left style="thick">
        <color theme="5"/>
      </left>
      <right style="thick">
        <color theme="5"/>
      </right>
      <top style="thick">
        <color theme="5"/>
      </top>
      <bottom/>
      <diagonal/>
    </border>
    <border>
      <left style="thick">
        <color theme="5"/>
      </left>
      <right style="thick">
        <color theme="5"/>
      </right>
      <top/>
      <bottom/>
      <diagonal/>
    </border>
    <border>
      <left/>
      <right style="thick">
        <color rgb="FF0070C0"/>
      </right>
      <top/>
      <bottom/>
      <diagonal/>
    </border>
    <border>
      <left style="thick">
        <color theme="5"/>
      </left>
      <right style="thick">
        <color theme="5"/>
      </right>
      <top/>
      <bottom style="thick">
        <color theme="5"/>
      </bottom>
      <diagonal/>
    </border>
    <border>
      <left style="thick">
        <color rgb="FF0070C0"/>
      </left>
      <right style="thick">
        <color rgb="FF0070C0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rgb="FF0070C0"/>
      </left>
      <right/>
      <top style="thick">
        <color rgb="FF0070C0"/>
      </top>
      <bottom/>
      <diagonal/>
    </border>
    <border>
      <left/>
      <right style="thick">
        <color rgb="FF0070C0"/>
      </right>
      <top style="thick">
        <color rgb="FF0070C0"/>
      </top>
      <bottom/>
      <diagonal/>
    </border>
    <border>
      <left style="thick">
        <color rgb="FF0070C0"/>
      </left>
      <right/>
      <top style="thick">
        <color rgb="FF0070C0"/>
      </top>
      <bottom style="thick">
        <color rgb="FF0070C0"/>
      </bottom>
      <diagonal/>
    </border>
    <border>
      <left/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 style="thick">
        <color rgb="FF0070C0"/>
      </left>
      <right/>
      <top/>
      <bottom/>
      <diagonal/>
    </border>
    <border>
      <left/>
      <right style="thick">
        <color rgb="FF0070C0"/>
      </right>
      <top/>
      <bottom style="thick">
        <color rgb="FF0070C0"/>
      </bottom>
      <diagonal/>
    </border>
    <border>
      <left style="thick">
        <color rgb="FF0070C0"/>
      </left>
      <right style="thick">
        <color rgb="FF0070C0"/>
      </right>
      <top/>
      <bottom style="thick">
        <color rgb="FF0070C0"/>
      </bottom>
      <diagonal/>
    </border>
    <border>
      <left style="thick">
        <color rgb="FF0070C0"/>
      </left>
      <right/>
      <top/>
      <bottom style="thick">
        <color rgb="FF0070C0"/>
      </bottom>
      <diagonal/>
    </border>
    <border>
      <left style="thick">
        <color theme="5"/>
      </left>
      <right style="thick">
        <color theme="5"/>
      </right>
      <top style="thick">
        <color theme="5"/>
      </top>
      <bottom style="thick">
        <color theme="5"/>
      </bottom>
      <diagonal/>
    </border>
    <border>
      <left/>
      <right/>
      <top/>
      <bottom style="thick">
        <color rgb="FF0070C0"/>
      </bottom>
      <diagonal/>
    </border>
    <border>
      <left/>
      <right/>
      <top/>
      <bottom style="thick">
        <color theme="1"/>
      </bottom>
      <diagonal/>
    </border>
    <border>
      <left style="thin">
        <color indexed="64"/>
      </left>
      <right style="thick">
        <color theme="1"/>
      </right>
      <top style="thick">
        <color theme="1"/>
      </top>
      <bottom/>
      <diagonal/>
    </border>
    <border>
      <left style="thin">
        <color indexed="64"/>
      </left>
      <right style="thick">
        <color theme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4" fontId="6" fillId="0" borderId="0" applyFont="0" applyFill="0" applyBorder="0" applyAlignment="0" applyProtection="0"/>
    <xf numFmtId="0" fontId="13" fillId="0" borderId="0"/>
    <xf numFmtId="0" fontId="13" fillId="0" borderId="0"/>
    <xf numFmtId="0" fontId="4" fillId="0" borderId="0"/>
    <xf numFmtId="0" fontId="3" fillId="0" borderId="0"/>
    <xf numFmtId="0" fontId="13" fillId="0" borderId="0"/>
    <xf numFmtId="0" fontId="2" fillId="0" borderId="0"/>
    <xf numFmtId="0" fontId="1" fillId="0" borderId="0"/>
  </cellStyleXfs>
  <cellXfs count="687">
    <xf numFmtId="0" fontId="0" fillId="0" borderId="0" xfId="0"/>
    <xf numFmtId="0" fontId="0" fillId="0" borderId="1" xfId="0" applyBorder="1" applyAlignment="1">
      <alignment horizontal="center"/>
    </xf>
    <xf numFmtId="2" fontId="0" fillId="0" borderId="0" xfId="0" applyNumberFormat="1" applyAlignment="1">
      <alignment horizontal="center"/>
    </xf>
    <xf numFmtId="2" fontId="7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1" fontId="7" fillId="0" borderId="0" xfId="0" applyNumberFormat="1" applyFont="1" applyAlignment="1">
      <alignment horizontal="right"/>
    </xf>
    <xf numFmtId="1" fontId="0" fillId="0" borderId="0" xfId="0" applyNumberFormat="1" applyAlignment="1">
      <alignment horizontal="center"/>
    </xf>
    <xf numFmtId="2" fontId="9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left"/>
    </xf>
    <xf numFmtId="0" fontId="9" fillId="0" borderId="0" xfId="0" applyFont="1"/>
    <xf numFmtId="0" fontId="6" fillId="0" borderId="0" xfId="0" applyFont="1"/>
    <xf numFmtId="2" fontId="0" fillId="0" borderId="0" xfId="0" applyNumberFormat="1"/>
    <xf numFmtId="1" fontId="7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center"/>
    </xf>
    <xf numFmtId="2" fontId="6" fillId="0" borderId="0" xfId="0" applyNumberFormat="1" applyFont="1"/>
    <xf numFmtId="0" fontId="11" fillId="0" borderId="0" xfId="0" applyFont="1" applyAlignment="1">
      <alignment horizontal="left"/>
    </xf>
    <xf numFmtId="2" fontId="7" fillId="0" borderId="0" xfId="0" applyNumberFormat="1" applyFont="1" applyAlignment="1">
      <alignment horizontal="center"/>
    </xf>
    <xf numFmtId="2" fontId="15" fillId="0" borderId="0" xfId="0" applyNumberFormat="1" applyFont="1"/>
    <xf numFmtId="0" fontId="0" fillId="0" borderId="10" xfId="0" applyBorder="1" applyAlignment="1">
      <alignment horizontal="center"/>
    </xf>
    <xf numFmtId="0" fontId="17" fillId="0" borderId="0" xfId="2" applyFont="1"/>
    <xf numFmtId="0" fontId="17" fillId="0" borderId="0" xfId="2" applyFont="1" applyAlignment="1">
      <alignment horizontal="center"/>
    </xf>
    <xf numFmtId="0" fontId="17" fillId="3" borderId="0" xfId="2" applyFont="1" applyFill="1"/>
    <xf numFmtId="0" fontId="17" fillId="0" borderId="10" xfId="2" applyFont="1" applyBorder="1"/>
    <xf numFmtId="0" fontId="17" fillId="0" borderId="13" xfId="2" applyFont="1" applyBorder="1"/>
    <xf numFmtId="0" fontId="17" fillId="0" borderId="13" xfId="2" applyFont="1" applyBorder="1" applyAlignment="1">
      <alignment horizontal="center"/>
    </xf>
    <xf numFmtId="0" fontId="17" fillId="0" borderId="14" xfId="2" applyFont="1" applyBorder="1"/>
    <xf numFmtId="0" fontId="17" fillId="0" borderId="8" xfId="2" applyFont="1" applyBorder="1"/>
    <xf numFmtId="0" fontId="18" fillId="0" borderId="0" xfId="2" applyFont="1" applyAlignment="1">
      <alignment horizontal="center"/>
    </xf>
    <xf numFmtId="0" fontId="17" fillId="0" borderId="15" xfId="2" applyFont="1" applyBorder="1"/>
    <xf numFmtId="0" fontId="20" fillId="0" borderId="8" xfId="2" applyFont="1" applyBorder="1"/>
    <xf numFmtId="0" fontId="19" fillId="3" borderId="0" xfId="2" applyFont="1" applyFill="1"/>
    <xf numFmtId="0" fontId="20" fillId="3" borderId="0" xfId="2" applyFont="1" applyFill="1" applyAlignment="1">
      <alignment horizontal="center"/>
    </xf>
    <xf numFmtId="0" fontId="20" fillId="3" borderId="0" xfId="2" applyFont="1" applyFill="1"/>
    <xf numFmtId="0" fontId="20" fillId="3" borderId="51" xfId="2" applyFont="1" applyFill="1" applyBorder="1"/>
    <xf numFmtId="0" fontId="13" fillId="3" borderId="52" xfId="2" applyFill="1" applyBorder="1" applyAlignment="1">
      <alignment horizontal="center"/>
    </xf>
    <xf numFmtId="0" fontId="20" fillId="3" borderId="53" xfId="2" applyFont="1" applyFill="1" applyBorder="1"/>
    <xf numFmtId="0" fontId="20" fillId="3" borderId="54" xfId="2" applyFont="1" applyFill="1" applyBorder="1" applyAlignment="1">
      <alignment horizontal="center"/>
    </xf>
    <xf numFmtId="0" fontId="20" fillId="0" borderId="15" xfId="2" applyFont="1" applyBorder="1"/>
    <xf numFmtId="0" fontId="20" fillId="0" borderId="0" xfId="2" applyFont="1"/>
    <xf numFmtId="0" fontId="20" fillId="3" borderId="17" xfId="2" applyFont="1" applyFill="1" applyBorder="1"/>
    <xf numFmtId="0" fontId="20" fillId="3" borderId="17" xfId="2" applyFont="1" applyFill="1" applyBorder="1" applyAlignment="1">
      <alignment horizontal="center"/>
    </xf>
    <xf numFmtId="0" fontId="19" fillId="3" borderId="17" xfId="2" applyFont="1" applyFill="1" applyBorder="1" applyAlignment="1">
      <alignment horizontal="center"/>
    </xf>
    <xf numFmtId="0" fontId="20" fillId="3" borderId="55" xfId="2" applyFont="1" applyFill="1" applyBorder="1"/>
    <xf numFmtId="0" fontId="20" fillId="3" borderId="56" xfId="2" applyFont="1" applyFill="1" applyBorder="1" applyAlignment="1">
      <alignment horizontal="center"/>
    </xf>
    <xf numFmtId="0" fontId="19" fillId="4" borderId="16" xfId="3" applyFont="1" applyFill="1" applyBorder="1" applyAlignment="1">
      <alignment horizontal="center"/>
    </xf>
    <xf numFmtId="0" fontId="20" fillId="3" borderId="18" xfId="2" applyFont="1" applyFill="1" applyBorder="1" applyAlignment="1">
      <alignment horizontal="center"/>
    </xf>
    <xf numFmtId="0" fontId="20" fillId="3" borderId="19" xfId="2" applyFont="1" applyFill="1" applyBorder="1"/>
    <xf numFmtId="0" fontId="20" fillId="3" borderId="18" xfId="2" applyFont="1" applyFill="1" applyBorder="1"/>
    <xf numFmtId="0" fontId="20" fillId="3" borderId="57" xfId="2" applyFont="1" applyFill="1" applyBorder="1"/>
    <xf numFmtId="0" fontId="13" fillId="3" borderId="58" xfId="2" applyFill="1" applyBorder="1" applyAlignment="1">
      <alignment horizontal="center"/>
    </xf>
    <xf numFmtId="0" fontId="20" fillId="3" borderId="20" xfId="2" applyFont="1" applyFill="1" applyBorder="1"/>
    <xf numFmtId="0" fontId="20" fillId="3" borderId="59" xfId="2" applyFont="1" applyFill="1" applyBorder="1"/>
    <xf numFmtId="0" fontId="20" fillId="3" borderId="60" xfId="2" applyFont="1" applyFill="1" applyBorder="1" applyAlignment="1">
      <alignment horizontal="center"/>
    </xf>
    <xf numFmtId="0" fontId="20" fillId="3" borderId="21" xfId="2" applyFont="1" applyFill="1" applyBorder="1"/>
    <xf numFmtId="0" fontId="20" fillId="3" borderId="61" xfId="2" applyFont="1" applyFill="1" applyBorder="1"/>
    <xf numFmtId="0" fontId="20" fillId="3" borderId="62" xfId="2" applyFont="1" applyFill="1" applyBorder="1"/>
    <xf numFmtId="0" fontId="20" fillId="3" borderId="22" xfId="2" applyFont="1" applyFill="1" applyBorder="1"/>
    <xf numFmtId="0" fontId="20" fillId="3" borderId="63" xfId="2" applyFont="1" applyFill="1" applyBorder="1"/>
    <xf numFmtId="0" fontId="20" fillId="3" borderId="64" xfId="2" applyFont="1" applyFill="1" applyBorder="1"/>
    <xf numFmtId="0" fontId="20" fillId="3" borderId="65" xfId="2" applyFont="1" applyFill="1" applyBorder="1"/>
    <xf numFmtId="0" fontId="13" fillId="3" borderId="23" xfId="2" applyFill="1" applyBorder="1" applyAlignment="1">
      <alignment horizontal="center"/>
    </xf>
    <xf numFmtId="0" fontId="20" fillId="3" borderId="66" xfId="2" applyFont="1" applyFill="1" applyBorder="1"/>
    <xf numFmtId="0" fontId="20" fillId="3" borderId="24" xfId="2" applyFont="1" applyFill="1" applyBorder="1"/>
    <xf numFmtId="0" fontId="20" fillId="3" borderId="25" xfId="2" applyFont="1" applyFill="1" applyBorder="1"/>
    <xf numFmtId="0" fontId="20" fillId="3" borderId="67" xfId="2" applyFont="1" applyFill="1" applyBorder="1"/>
    <xf numFmtId="0" fontId="13" fillId="3" borderId="68" xfId="2" applyFill="1" applyBorder="1" applyAlignment="1">
      <alignment horizontal="center"/>
    </xf>
    <xf numFmtId="0" fontId="20" fillId="3" borderId="53" xfId="2" applyFont="1" applyFill="1" applyBorder="1" applyAlignment="1">
      <alignment horizontal="center"/>
    </xf>
    <xf numFmtId="0" fontId="13" fillId="3" borderId="69" xfId="2" applyFill="1" applyBorder="1" applyAlignment="1">
      <alignment horizontal="center"/>
    </xf>
    <xf numFmtId="0" fontId="19" fillId="0" borderId="54" xfId="2" applyFont="1" applyBorder="1" applyAlignment="1">
      <alignment horizontal="center"/>
    </xf>
    <xf numFmtId="0" fontId="13" fillId="3" borderId="70" xfId="2" applyFill="1" applyBorder="1" applyAlignment="1">
      <alignment horizontal="center"/>
    </xf>
    <xf numFmtId="0" fontId="20" fillId="3" borderId="71" xfId="2" applyFont="1" applyFill="1" applyBorder="1"/>
    <xf numFmtId="0" fontId="21" fillId="0" borderId="72" xfId="2" applyFont="1" applyBorder="1" applyAlignment="1">
      <alignment horizontal="center"/>
    </xf>
    <xf numFmtId="0" fontId="19" fillId="3" borderId="73" xfId="2" applyFont="1" applyFill="1" applyBorder="1" applyAlignment="1">
      <alignment horizontal="center"/>
    </xf>
    <xf numFmtId="0" fontId="19" fillId="0" borderId="74" xfId="2" applyFont="1" applyBorder="1" applyAlignment="1">
      <alignment horizontal="center"/>
    </xf>
    <xf numFmtId="0" fontId="20" fillId="10" borderId="71" xfId="2" applyFont="1" applyFill="1" applyBorder="1"/>
    <xf numFmtId="0" fontId="20" fillId="10" borderId="73" xfId="2" applyFont="1" applyFill="1" applyBorder="1"/>
    <xf numFmtId="0" fontId="20" fillId="3" borderId="73" xfId="2" applyFont="1" applyFill="1" applyBorder="1" applyAlignment="1">
      <alignment horizontal="center"/>
    </xf>
    <xf numFmtId="0" fontId="20" fillId="10" borderId="75" xfId="2" applyFont="1" applyFill="1" applyBorder="1"/>
    <xf numFmtId="0" fontId="20" fillId="10" borderId="76" xfId="2" applyFont="1" applyFill="1" applyBorder="1"/>
    <xf numFmtId="0" fontId="19" fillId="3" borderId="17" xfId="2" applyFont="1" applyFill="1" applyBorder="1" applyAlignment="1">
      <alignment horizontal="left"/>
    </xf>
    <xf numFmtId="0" fontId="19" fillId="3" borderId="26" xfId="2" applyFont="1" applyFill="1" applyBorder="1"/>
    <xf numFmtId="0" fontId="20" fillId="10" borderId="77" xfId="2" applyFont="1" applyFill="1" applyBorder="1"/>
    <xf numFmtId="0" fontId="20" fillId="10" borderId="78" xfId="2" applyFont="1" applyFill="1" applyBorder="1"/>
    <xf numFmtId="0" fontId="20" fillId="10" borderId="79" xfId="2" applyFont="1" applyFill="1" applyBorder="1"/>
    <xf numFmtId="0" fontId="20" fillId="10" borderId="0" xfId="2" applyFont="1" applyFill="1"/>
    <xf numFmtId="0" fontId="29" fillId="10" borderId="75" xfId="2" applyFont="1" applyFill="1" applyBorder="1"/>
    <xf numFmtId="0" fontId="19" fillId="3" borderId="18" xfId="2" applyFont="1" applyFill="1" applyBorder="1" applyAlignment="1">
      <alignment horizontal="left"/>
    </xf>
    <xf numFmtId="0" fontId="19" fillId="3" borderId="20" xfId="2" applyFont="1" applyFill="1" applyBorder="1"/>
    <xf numFmtId="0" fontId="20" fillId="10" borderId="80" xfId="2" applyFont="1" applyFill="1" applyBorder="1"/>
    <xf numFmtId="0" fontId="20" fillId="10" borderId="81" xfId="2" applyFont="1" applyFill="1" applyBorder="1"/>
    <xf numFmtId="0" fontId="20" fillId="10" borderId="82" xfId="2" applyFont="1" applyFill="1" applyBorder="1"/>
    <xf numFmtId="0" fontId="20" fillId="3" borderId="71" xfId="2" applyFont="1" applyFill="1" applyBorder="1" applyAlignment="1">
      <alignment horizontal="center"/>
    </xf>
    <xf numFmtId="0" fontId="19" fillId="3" borderId="0" xfId="2" applyFont="1" applyFill="1" applyAlignment="1">
      <alignment horizontal="center"/>
    </xf>
    <xf numFmtId="0" fontId="20" fillId="3" borderId="27" xfId="2" applyFont="1" applyFill="1" applyBorder="1"/>
    <xf numFmtId="0" fontId="20" fillId="3" borderId="28" xfId="2" applyFont="1" applyFill="1" applyBorder="1"/>
    <xf numFmtId="0" fontId="20" fillId="3" borderId="79" xfId="2" applyFont="1" applyFill="1" applyBorder="1"/>
    <xf numFmtId="0" fontId="13" fillId="3" borderId="83" xfId="2" applyFill="1" applyBorder="1" applyAlignment="1">
      <alignment horizontal="center"/>
    </xf>
    <xf numFmtId="0" fontId="20" fillId="3" borderId="84" xfId="2" applyFont="1" applyFill="1" applyBorder="1"/>
    <xf numFmtId="0" fontId="20" fillId="3" borderId="80" xfId="2" applyFont="1" applyFill="1" applyBorder="1"/>
    <xf numFmtId="0" fontId="20" fillId="3" borderId="82" xfId="2" applyFont="1" applyFill="1" applyBorder="1"/>
    <xf numFmtId="0" fontId="19" fillId="3" borderId="22" xfId="2" applyFont="1" applyFill="1" applyBorder="1"/>
    <xf numFmtId="0" fontId="20" fillId="3" borderId="26" xfId="2" applyFont="1" applyFill="1" applyBorder="1"/>
    <xf numFmtId="0" fontId="20" fillId="0" borderId="80" xfId="2" applyFont="1" applyBorder="1"/>
    <xf numFmtId="0" fontId="20" fillId="0" borderId="82" xfId="2" applyFont="1" applyBorder="1"/>
    <xf numFmtId="0" fontId="20" fillId="8" borderId="0" xfId="2" applyFont="1" applyFill="1"/>
    <xf numFmtId="0" fontId="20" fillId="0" borderId="71" xfId="2" applyFont="1" applyBorder="1"/>
    <xf numFmtId="0" fontId="20" fillId="8" borderId="85" xfId="2" applyFont="1" applyFill="1" applyBorder="1"/>
    <xf numFmtId="0" fontId="20" fillId="0" borderId="85" xfId="2" applyFont="1" applyBorder="1"/>
    <xf numFmtId="0" fontId="20" fillId="2" borderId="2" xfId="2" applyFont="1" applyFill="1" applyBorder="1"/>
    <xf numFmtId="0" fontId="20" fillId="0" borderId="86" xfId="2" applyFont="1" applyBorder="1"/>
    <xf numFmtId="0" fontId="20" fillId="11" borderId="87" xfId="2" applyFont="1" applyFill="1" applyBorder="1"/>
    <xf numFmtId="0" fontId="20" fillId="12" borderId="0" xfId="2" applyFont="1" applyFill="1"/>
    <xf numFmtId="0" fontId="20" fillId="2" borderId="29" xfId="2" applyFont="1" applyFill="1" applyBorder="1"/>
    <xf numFmtId="0" fontId="20" fillId="0" borderId="87" xfId="2" applyFont="1" applyBorder="1"/>
    <xf numFmtId="0" fontId="20" fillId="3" borderId="22" xfId="2" applyFont="1" applyFill="1" applyBorder="1" applyAlignment="1">
      <alignment horizontal="center"/>
    </xf>
    <xf numFmtId="0" fontId="20" fillId="3" borderId="3" xfId="2" applyFont="1" applyFill="1" applyBorder="1"/>
    <xf numFmtId="0" fontId="20" fillId="3" borderId="30" xfId="2" applyFont="1" applyFill="1" applyBorder="1"/>
    <xf numFmtId="0" fontId="19" fillId="3" borderId="30" xfId="2" applyFont="1" applyFill="1" applyBorder="1" applyAlignment="1">
      <alignment horizontal="center"/>
    </xf>
    <xf numFmtId="0" fontId="20" fillId="3" borderId="4" xfId="2" applyFont="1" applyFill="1" applyBorder="1"/>
    <xf numFmtId="0" fontId="17" fillId="3" borderId="0" xfId="2" applyFont="1" applyFill="1" applyAlignment="1">
      <alignment horizontal="center"/>
    </xf>
    <xf numFmtId="0" fontId="13" fillId="0" borderId="0" xfId="2"/>
    <xf numFmtId="0" fontId="23" fillId="0" borderId="0" xfId="2" applyFont="1"/>
    <xf numFmtId="2" fontId="24" fillId="0" borderId="0" xfId="2" applyNumberFormat="1" applyFont="1"/>
    <xf numFmtId="0" fontId="24" fillId="0" borderId="0" xfId="2" applyFont="1"/>
    <xf numFmtId="0" fontId="25" fillId="0" borderId="0" xfId="2" applyFont="1"/>
    <xf numFmtId="0" fontId="17" fillId="0" borderId="35" xfId="2" applyFont="1" applyBorder="1"/>
    <xf numFmtId="0" fontId="24" fillId="0" borderId="36" xfId="2" applyFont="1" applyBorder="1"/>
    <xf numFmtId="0" fontId="17" fillId="0" borderId="36" xfId="2" applyFont="1" applyBorder="1"/>
    <xf numFmtId="0" fontId="17" fillId="0" borderId="36" xfId="2" applyFont="1" applyBorder="1" applyAlignment="1">
      <alignment horizontal="center"/>
    </xf>
    <xf numFmtId="0" fontId="17" fillId="3" borderId="36" xfId="2" applyFont="1" applyFill="1" applyBorder="1"/>
    <xf numFmtId="0" fontId="13" fillId="0" borderId="36" xfId="2" applyBorder="1"/>
    <xf numFmtId="0" fontId="17" fillId="0" borderId="37" xfId="2" applyFont="1" applyBorder="1"/>
    <xf numFmtId="0" fontId="26" fillId="0" borderId="0" xfId="2" applyFont="1"/>
    <xf numFmtId="0" fontId="9" fillId="0" borderId="15" xfId="0" applyFont="1" applyBorder="1"/>
    <xf numFmtId="0" fontId="9" fillId="0" borderId="8" xfId="0" applyFon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7" fillId="0" borderId="13" xfId="0" applyNumberFormat="1" applyFont="1" applyBorder="1" applyAlignment="1">
      <alignment horizontal="right"/>
    </xf>
    <xf numFmtId="2" fontId="7" fillId="0" borderId="13" xfId="0" applyNumberFormat="1" applyFont="1" applyBorder="1" applyAlignment="1">
      <alignment horizontal="right"/>
    </xf>
    <xf numFmtId="2" fontId="7" fillId="0" borderId="13" xfId="0" applyNumberFormat="1" applyFont="1" applyBorder="1" applyAlignment="1">
      <alignment horizontal="center"/>
    </xf>
    <xf numFmtId="2" fontId="8" fillId="0" borderId="13" xfId="0" applyNumberFormat="1" applyFont="1" applyBorder="1" applyAlignment="1">
      <alignment horizontal="center"/>
    </xf>
    <xf numFmtId="0" fontId="10" fillId="0" borderId="13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2" fontId="9" fillId="0" borderId="36" xfId="0" applyNumberFormat="1" applyFont="1" applyBorder="1" applyAlignment="1">
      <alignment horizontal="center"/>
    </xf>
    <xf numFmtId="0" fontId="7" fillId="0" borderId="36" xfId="0" applyFont="1" applyBorder="1" applyAlignment="1">
      <alignment horizontal="right"/>
    </xf>
    <xf numFmtId="4" fontId="0" fillId="0" borderId="0" xfId="0" applyNumberFormat="1"/>
    <xf numFmtId="0" fontId="0" fillId="16" borderId="0" xfId="0" applyFill="1"/>
    <xf numFmtId="0" fontId="0" fillId="0" borderId="0" xfId="0" applyAlignment="1">
      <alignment horizontal="center" vertical="center"/>
    </xf>
    <xf numFmtId="0" fontId="4" fillId="0" borderId="0" xfId="4"/>
    <xf numFmtId="2" fontId="0" fillId="7" borderId="0" xfId="0" applyNumberFormat="1" applyFill="1"/>
    <xf numFmtId="0" fontId="0" fillId="7" borderId="0" xfId="0" applyFill="1"/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164" fontId="20" fillId="9" borderId="16" xfId="3" applyNumberFormat="1" applyFont="1" applyFill="1" applyBorder="1" applyAlignment="1">
      <alignment horizontal="center" vertical="center"/>
    </xf>
    <xf numFmtId="171" fontId="19" fillId="4" borderId="16" xfId="3" applyNumberFormat="1" applyFont="1" applyFill="1" applyBorder="1" applyAlignment="1">
      <alignment horizontal="center"/>
    </xf>
    <xf numFmtId="0" fontId="0" fillId="0" borderId="15" xfId="0" applyBorder="1"/>
    <xf numFmtId="2" fontId="28" fillId="5" borderId="42" xfId="0" applyNumberFormat="1" applyFont="1" applyFill="1" applyBorder="1" applyAlignment="1">
      <alignment horizontal="center"/>
    </xf>
    <xf numFmtId="2" fontId="28" fillId="5" borderId="9" xfId="0" applyNumberFormat="1" applyFont="1" applyFill="1" applyBorder="1" applyAlignment="1">
      <alignment horizontal="center"/>
    </xf>
    <xf numFmtId="2" fontId="9" fillId="5" borderId="42" xfId="0" applyNumberFormat="1" applyFont="1" applyFill="1" applyBorder="1" applyAlignment="1">
      <alignment horizontal="center"/>
    </xf>
    <xf numFmtId="2" fontId="9" fillId="5" borderId="9" xfId="0" applyNumberFormat="1" applyFont="1" applyFill="1" applyBorder="1" applyAlignment="1">
      <alignment horizontal="center"/>
    </xf>
    <xf numFmtId="168" fontId="7" fillId="18" borderId="4" xfId="0" applyNumberFormat="1" applyFont="1" applyFill="1" applyBorder="1" applyAlignment="1">
      <alignment horizontal="center" vertical="center"/>
    </xf>
    <xf numFmtId="2" fontId="9" fillId="7" borderId="43" xfId="0" applyNumberFormat="1" applyFont="1" applyFill="1" applyBorder="1" applyAlignment="1">
      <alignment horizontal="center"/>
    </xf>
    <xf numFmtId="2" fontId="9" fillId="0" borderId="43" xfId="0" applyNumberFormat="1" applyFont="1" applyBorder="1" applyAlignment="1">
      <alignment horizontal="center"/>
    </xf>
    <xf numFmtId="0" fontId="38" fillId="10" borderId="7" xfId="0" applyFont="1" applyFill="1" applyBorder="1"/>
    <xf numFmtId="0" fontId="38" fillId="10" borderId="3" xfId="0" applyFont="1" applyFill="1" applyBorder="1"/>
    <xf numFmtId="0" fontId="5" fillId="23" borderId="3" xfId="0" applyFont="1" applyFill="1" applyBorder="1" applyAlignment="1">
      <alignment horizontal="center" vertical="center"/>
    </xf>
    <xf numFmtId="168" fontId="5" fillId="23" borderId="7" xfId="0" applyNumberFormat="1" applyFont="1" applyFill="1" applyBorder="1" applyAlignment="1">
      <alignment horizontal="center" vertical="center"/>
    </xf>
    <xf numFmtId="2" fontId="7" fillId="5" borderId="0" xfId="0" applyNumberFormat="1" applyFont="1" applyFill="1" applyAlignment="1">
      <alignment horizontal="center"/>
    </xf>
    <xf numFmtId="2" fontId="7" fillId="5" borderId="13" xfId="0" applyNumberFormat="1" applyFont="1" applyFill="1" applyBorder="1" applyAlignment="1">
      <alignment horizontal="center"/>
    </xf>
    <xf numFmtId="166" fontId="7" fillId="5" borderId="14" xfId="0" applyNumberFormat="1" applyFont="1" applyFill="1" applyBorder="1" applyAlignment="1">
      <alignment horizontal="center"/>
    </xf>
    <xf numFmtId="166" fontId="7" fillId="5" borderId="15" xfId="0" applyNumberFormat="1" applyFont="1" applyFill="1" applyBorder="1" applyAlignment="1">
      <alignment horizontal="center"/>
    </xf>
    <xf numFmtId="2" fontId="7" fillId="5" borderId="36" xfId="0" applyNumberFormat="1" applyFont="1" applyFill="1" applyBorder="1" applyAlignment="1">
      <alignment horizontal="center"/>
    </xf>
    <xf numFmtId="166" fontId="7" fillId="5" borderId="37" xfId="0" applyNumberFormat="1" applyFont="1" applyFill="1" applyBorder="1" applyAlignment="1">
      <alignment horizontal="center"/>
    </xf>
    <xf numFmtId="2" fontId="9" fillId="7" borderId="101" xfId="0" applyNumberFormat="1" applyFont="1" applyFill="1" applyBorder="1" applyAlignment="1">
      <alignment horizontal="center"/>
    </xf>
    <xf numFmtId="166" fontId="9" fillId="7" borderId="101" xfId="0" applyNumberFormat="1" applyFont="1" applyFill="1" applyBorder="1" applyAlignment="1">
      <alignment horizontal="center"/>
    </xf>
    <xf numFmtId="2" fontId="27" fillId="15" borderId="0" xfId="0" applyNumberFormat="1" applyFont="1" applyFill="1" applyAlignment="1">
      <alignment horizontal="center" vertical="center"/>
    </xf>
    <xf numFmtId="2" fontId="27" fillId="6" borderId="0" xfId="0" applyNumberFormat="1" applyFont="1" applyFill="1" applyAlignment="1">
      <alignment horizontal="center" vertical="center"/>
    </xf>
    <xf numFmtId="2" fontId="27" fillId="15" borderId="13" xfId="0" applyNumberFormat="1" applyFont="1" applyFill="1" applyBorder="1" applyAlignment="1">
      <alignment horizontal="center" vertical="center"/>
    </xf>
    <xf numFmtId="2" fontId="27" fillId="15" borderId="36" xfId="0" applyNumberFormat="1" applyFont="1" applyFill="1" applyBorder="1" applyAlignment="1">
      <alignment horizontal="center" vertical="center"/>
    </xf>
    <xf numFmtId="168" fontId="5" fillId="21" borderId="7" xfId="0" applyNumberFormat="1" applyFont="1" applyFill="1" applyBorder="1" applyAlignment="1">
      <alignment horizontal="center" vertical="center"/>
    </xf>
    <xf numFmtId="2" fontId="40" fillId="6" borderId="0" xfId="0" applyNumberFormat="1" applyFont="1" applyFill="1" applyAlignment="1">
      <alignment horizontal="center" vertical="center"/>
    </xf>
    <xf numFmtId="2" fontId="9" fillId="0" borderId="89" xfId="0" applyNumberFormat="1" applyFont="1" applyBorder="1" applyAlignment="1">
      <alignment horizontal="center" vertical="center"/>
    </xf>
    <xf numFmtId="2" fontId="9" fillId="0" borderId="91" xfId="0" applyNumberFormat="1" applyFont="1" applyBorder="1" applyAlignment="1">
      <alignment horizontal="center" vertical="center"/>
    </xf>
    <xf numFmtId="0" fontId="0" fillId="0" borderId="3" xfId="0" applyBorder="1"/>
    <xf numFmtId="2" fontId="0" fillId="0" borderId="30" xfId="0" applyNumberFormat="1" applyBorder="1" applyAlignment="1">
      <alignment horizontal="center"/>
    </xf>
    <xf numFmtId="164" fontId="36" fillId="14" borderId="42" xfId="0" applyNumberFormat="1" applyFont="1" applyFill="1" applyBorder="1" applyAlignment="1">
      <alignment horizontal="center"/>
    </xf>
    <xf numFmtId="2" fontId="28" fillId="14" borderId="42" xfId="0" applyNumberFormat="1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1" fontId="0" fillId="0" borderId="30" xfId="0" applyNumberFormat="1" applyBorder="1" applyAlignment="1">
      <alignment horizontal="center"/>
    </xf>
    <xf numFmtId="168" fontId="27" fillId="6" borderId="96" xfId="0" applyNumberFormat="1" applyFont="1" applyFill="1" applyBorder="1" applyAlignment="1">
      <alignment horizontal="center" vertical="center"/>
    </xf>
    <xf numFmtId="168" fontId="27" fillId="6" borderId="107" xfId="0" applyNumberFormat="1" applyFont="1" applyFill="1" applyBorder="1" applyAlignment="1">
      <alignment horizontal="center" vertical="center"/>
    </xf>
    <xf numFmtId="168" fontId="27" fillId="14" borderId="10" xfId="0" applyNumberFormat="1" applyFont="1" applyFill="1" applyBorder="1" applyAlignment="1">
      <alignment horizontal="center" vertical="center"/>
    </xf>
    <xf numFmtId="168" fontId="27" fillId="14" borderId="7" xfId="0" applyNumberFormat="1" applyFont="1" applyFill="1" applyBorder="1" applyAlignment="1">
      <alignment horizontal="center" vertical="center"/>
    </xf>
    <xf numFmtId="0" fontId="24" fillId="13" borderId="16" xfId="6" applyFont="1" applyFill="1" applyBorder="1" applyAlignment="1">
      <alignment horizontal="center"/>
    </xf>
    <xf numFmtId="2" fontId="24" fillId="7" borderId="16" xfId="6" applyNumberFormat="1" applyFont="1" applyFill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2" fontId="9" fillId="0" borderId="39" xfId="0" applyNumberFormat="1" applyFont="1" applyBorder="1" applyAlignment="1">
      <alignment horizontal="left" vertical="center"/>
    </xf>
    <xf numFmtId="2" fontId="9" fillId="0" borderId="40" xfId="0" applyNumberFormat="1" applyFont="1" applyBorder="1" applyAlignment="1">
      <alignment horizontal="left" vertical="center"/>
    </xf>
    <xf numFmtId="2" fontId="7" fillId="8" borderId="3" xfId="0" applyNumberFormat="1" applyFont="1" applyFill="1" applyBorder="1" applyAlignment="1">
      <alignment horizontal="center" vertical="center"/>
    </xf>
    <xf numFmtId="0" fontId="9" fillId="0" borderId="90" xfId="0" applyFont="1" applyBorder="1" applyAlignment="1">
      <alignment horizontal="center" vertical="center"/>
    </xf>
    <xf numFmtId="173" fontId="7" fillId="8" borderId="107" xfId="0" applyNumberFormat="1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/>
    </xf>
    <xf numFmtId="0" fontId="0" fillId="0" borderId="0" xfId="0" applyAlignment="1">
      <alignment horizontal="center"/>
    </xf>
    <xf numFmtId="0" fontId="9" fillId="0" borderId="37" xfId="0" applyFont="1" applyBorder="1"/>
    <xf numFmtId="2" fontId="27" fillId="26" borderId="13" xfId="0" applyNumberFormat="1" applyFont="1" applyFill="1" applyBorder="1" applyAlignment="1">
      <alignment horizontal="center" vertical="center" wrapText="1"/>
    </xf>
    <xf numFmtId="0" fontId="14" fillId="3" borderId="96" xfId="3" applyFont="1" applyFill="1" applyBorder="1" applyAlignment="1">
      <alignment horizontal="center" vertical="center"/>
    </xf>
    <xf numFmtId="0" fontId="14" fillId="9" borderId="99" xfId="3" applyFont="1" applyFill="1" applyBorder="1" applyAlignment="1">
      <alignment horizontal="left" vertical="center"/>
    </xf>
    <xf numFmtId="0" fontId="13" fillId="3" borderId="99" xfId="3" applyFill="1" applyBorder="1" applyAlignment="1">
      <alignment horizontal="center" vertical="center"/>
    </xf>
    <xf numFmtId="0" fontId="20" fillId="3" borderId="107" xfId="3" applyFont="1" applyFill="1" applyBorder="1"/>
    <xf numFmtId="2" fontId="13" fillId="0" borderId="15" xfId="2" applyNumberFormat="1" applyBorder="1" applyAlignment="1">
      <alignment horizontal="center"/>
    </xf>
    <xf numFmtId="0" fontId="19" fillId="4" borderId="41" xfId="3" applyFont="1" applyFill="1" applyBorder="1" applyAlignment="1">
      <alignment horizontal="center"/>
    </xf>
    <xf numFmtId="171" fontId="19" fillId="4" borderId="41" xfId="3" applyNumberFormat="1" applyFont="1" applyFill="1" applyBorder="1" applyAlignment="1">
      <alignment horizontal="center"/>
    </xf>
    <xf numFmtId="0" fontId="20" fillId="7" borderId="90" xfId="3" applyFont="1" applyFill="1" applyBorder="1" applyAlignment="1">
      <alignment horizontal="center"/>
    </xf>
    <xf numFmtId="0" fontId="8" fillId="0" borderId="91" xfId="0" applyFont="1" applyBorder="1" applyAlignment="1">
      <alignment horizontal="center"/>
    </xf>
    <xf numFmtId="0" fontId="19" fillId="7" borderId="90" xfId="3" applyFont="1" applyFill="1" applyBorder="1" applyAlignment="1">
      <alignment horizontal="center"/>
    </xf>
    <xf numFmtId="0" fontId="19" fillId="7" borderId="91" xfId="3" applyFont="1" applyFill="1" applyBorder="1" applyAlignment="1">
      <alignment horizontal="center" vertical="center"/>
    </xf>
    <xf numFmtId="0" fontId="17" fillId="3" borderId="92" xfId="3" applyFont="1" applyFill="1" applyBorder="1" applyAlignment="1">
      <alignment horizontal="center"/>
    </xf>
    <xf numFmtId="2" fontId="22" fillId="3" borderId="108" xfId="3" applyNumberFormat="1" applyFont="1" applyFill="1" applyBorder="1" applyAlignment="1">
      <alignment horizontal="center"/>
    </xf>
    <xf numFmtId="0" fontId="20" fillId="3" borderId="108" xfId="3" applyFont="1" applyFill="1" applyBorder="1" applyAlignment="1">
      <alignment horizontal="left"/>
    </xf>
    <xf numFmtId="2" fontId="17" fillId="3" borderId="93" xfId="3" applyNumberFormat="1" applyFont="1" applyFill="1" applyBorder="1"/>
    <xf numFmtId="0" fontId="24" fillId="29" borderId="16" xfId="6" applyFont="1" applyFill="1" applyBorder="1" applyAlignment="1">
      <alignment horizontal="center"/>
    </xf>
    <xf numFmtId="2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2" fontId="24" fillId="7" borderId="31" xfId="6" applyNumberFormat="1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2" fontId="21" fillId="8" borderId="99" xfId="6" applyNumberFormat="1" applyFont="1" applyFill="1" applyBorder="1" applyAlignment="1">
      <alignment horizontal="center" vertical="center"/>
    </xf>
    <xf numFmtId="0" fontId="37" fillId="21" borderId="7" xfId="0" applyFont="1" applyFill="1" applyBorder="1" applyAlignment="1">
      <alignment horizontal="center" vertical="center"/>
    </xf>
    <xf numFmtId="0" fontId="45" fillId="0" borderId="0" xfId="2" applyFont="1" applyAlignment="1">
      <alignment horizontal="left"/>
    </xf>
    <xf numFmtId="2" fontId="44" fillId="0" borderId="91" xfId="0" applyNumberFormat="1" applyFont="1" applyBorder="1" applyAlignment="1">
      <alignment horizontal="center" vertical="center"/>
    </xf>
    <xf numFmtId="2" fontId="9" fillId="7" borderId="100" xfId="0" applyNumberFormat="1" applyFont="1" applyFill="1" applyBorder="1" applyAlignment="1">
      <alignment horizontal="center"/>
    </xf>
    <xf numFmtId="2" fontId="9" fillId="0" borderId="100" xfId="0" applyNumberFormat="1" applyFont="1" applyBorder="1" applyAlignment="1">
      <alignment horizontal="center"/>
    </xf>
    <xf numFmtId="2" fontId="9" fillId="5" borderId="0" xfId="0" applyNumberFormat="1" applyFont="1" applyFill="1" applyAlignment="1">
      <alignment horizontal="center" vertical="center"/>
    </xf>
    <xf numFmtId="2" fontId="9" fillId="5" borderId="13" xfId="0" applyNumberFormat="1" applyFont="1" applyFill="1" applyBorder="1" applyAlignment="1">
      <alignment horizontal="center" vertical="center"/>
    </xf>
    <xf numFmtId="2" fontId="9" fillId="5" borderId="36" xfId="0" applyNumberFormat="1" applyFont="1" applyFill="1" applyBorder="1" applyAlignment="1">
      <alignment horizontal="center" vertical="center"/>
    </xf>
    <xf numFmtId="2" fontId="27" fillId="6" borderId="30" xfId="0" applyNumberFormat="1" applyFont="1" applyFill="1" applyBorder="1" applyAlignment="1">
      <alignment horizontal="center" vertical="center"/>
    </xf>
    <xf numFmtId="2" fontId="9" fillId="5" borderId="13" xfId="0" applyNumberFormat="1" applyFont="1" applyFill="1" applyBorder="1" applyAlignment="1">
      <alignment horizontal="center"/>
    </xf>
    <xf numFmtId="2" fontId="9" fillId="5" borderId="36" xfId="0" applyNumberFormat="1" applyFont="1" applyFill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7" fillId="0" borderId="0" xfId="0" applyFont="1" applyAlignment="1">
      <alignment horizontal="right"/>
    </xf>
    <xf numFmtId="0" fontId="7" fillId="18" borderId="3" xfId="0" applyFont="1" applyFill="1" applyBorder="1" applyAlignment="1">
      <alignment horizontal="left" vertical="center"/>
    </xf>
    <xf numFmtId="2" fontId="46" fillId="5" borderId="10" xfId="2" applyNumberFormat="1" applyFont="1" applyFill="1" applyBorder="1" applyProtection="1">
      <protection locked="0"/>
    </xf>
    <xf numFmtId="0" fontId="17" fillId="3" borderId="13" xfId="2" applyFont="1" applyFill="1" applyBorder="1"/>
    <xf numFmtId="0" fontId="45" fillId="0" borderId="13" xfId="2" applyFont="1" applyBorder="1" applyAlignment="1">
      <alignment horizontal="left"/>
    </xf>
    <xf numFmtId="2" fontId="46" fillId="5" borderId="8" xfId="2" applyNumberFormat="1" applyFont="1" applyFill="1" applyBorder="1" applyProtection="1">
      <protection locked="0"/>
    </xf>
    <xf numFmtId="2" fontId="46" fillId="5" borderId="35" xfId="2" applyNumberFormat="1" applyFont="1" applyFill="1" applyBorder="1" applyProtection="1">
      <protection locked="0"/>
    </xf>
    <xf numFmtId="0" fontId="45" fillId="0" borderId="36" xfId="2" applyFont="1" applyBorder="1" applyAlignment="1">
      <alignment horizontal="left"/>
    </xf>
    <xf numFmtId="2" fontId="21" fillId="9" borderId="7" xfId="2" applyNumberFormat="1" applyFont="1" applyFill="1" applyBorder="1"/>
    <xf numFmtId="0" fontId="23" fillId="9" borderId="3" xfId="2" applyFont="1" applyFill="1" applyBorder="1"/>
    <xf numFmtId="0" fontId="23" fillId="9" borderId="30" xfId="2" applyFont="1" applyFill="1" applyBorder="1"/>
    <xf numFmtId="0" fontId="23" fillId="9" borderId="30" xfId="2" applyFont="1" applyFill="1" applyBorder="1" applyAlignment="1">
      <alignment horizontal="center"/>
    </xf>
    <xf numFmtId="0" fontId="17" fillId="9" borderId="4" xfId="2" applyFont="1" applyFill="1" applyBorder="1"/>
    <xf numFmtId="2" fontId="21" fillId="7" borderId="42" xfId="2" applyNumberFormat="1" applyFont="1" applyFill="1" applyBorder="1" applyProtection="1">
      <protection locked="0"/>
    </xf>
    <xf numFmtId="2" fontId="21" fillId="7" borderId="9" xfId="2" applyNumberFormat="1" applyFont="1" applyFill="1" applyBorder="1" applyProtection="1">
      <protection locked="0"/>
    </xf>
    <xf numFmtId="2" fontId="21" fillId="9" borderId="9" xfId="2" applyNumberFormat="1" applyFont="1" applyFill="1" applyBorder="1"/>
    <xf numFmtId="0" fontId="23" fillId="9" borderId="36" xfId="2" applyFont="1" applyFill="1" applyBorder="1"/>
    <xf numFmtId="0" fontId="23" fillId="9" borderId="36" xfId="2" applyFont="1" applyFill="1" applyBorder="1" applyAlignment="1">
      <alignment horizontal="center"/>
    </xf>
    <xf numFmtId="0" fontId="17" fillId="9" borderId="37" xfId="2" applyFont="1" applyFill="1" applyBorder="1"/>
    <xf numFmtId="2" fontId="16" fillId="0" borderId="15" xfId="0" applyNumberFormat="1" applyFont="1" applyBorder="1" applyAlignment="1">
      <alignment horizontal="left"/>
    </xf>
    <xf numFmtId="164" fontId="12" fillId="0" borderId="37" xfId="0" applyNumberFormat="1" applyFont="1" applyBorder="1" applyAlignment="1">
      <alignment horizontal="center"/>
    </xf>
    <xf numFmtId="2" fontId="16" fillId="0" borderId="42" xfId="0" applyNumberFormat="1" applyFont="1" applyBorder="1" applyAlignment="1">
      <alignment horizontal="right"/>
    </xf>
    <xf numFmtId="2" fontId="16" fillId="0" borderId="104" xfId="0" applyNumberFormat="1" applyFont="1" applyBorder="1" applyAlignment="1">
      <alignment horizontal="right"/>
    </xf>
    <xf numFmtId="2" fontId="16" fillId="0" borderId="9" xfId="0" applyNumberFormat="1" applyFont="1" applyBorder="1" applyAlignment="1">
      <alignment horizontal="right"/>
    </xf>
    <xf numFmtId="2" fontId="27" fillId="26" borderId="42" xfId="0" applyNumberFormat="1" applyFont="1" applyFill="1" applyBorder="1" applyAlignment="1">
      <alignment horizontal="center" vertical="center" wrapText="1"/>
    </xf>
    <xf numFmtId="2" fontId="27" fillId="26" borderId="42" xfId="0" applyNumberFormat="1" applyFont="1" applyFill="1" applyBorder="1" applyAlignment="1">
      <alignment horizontal="center"/>
    </xf>
    <xf numFmtId="0" fontId="27" fillId="26" borderId="42" xfId="0" applyFont="1" applyFill="1" applyBorder="1" applyAlignment="1">
      <alignment horizontal="center" vertical="center" wrapText="1"/>
    </xf>
    <xf numFmtId="2" fontId="34" fillId="7" borderId="104" xfId="0" applyNumberFormat="1" applyFont="1" applyFill="1" applyBorder="1" applyAlignment="1">
      <alignment horizontal="center" vertical="center"/>
    </xf>
    <xf numFmtId="2" fontId="7" fillId="13" borderId="104" xfId="0" applyNumberFormat="1" applyFont="1" applyFill="1" applyBorder="1" applyAlignment="1">
      <alignment horizontal="center" vertical="center"/>
    </xf>
    <xf numFmtId="2" fontId="27" fillId="6" borderId="13" xfId="0" applyNumberFormat="1" applyFont="1" applyFill="1" applyBorder="1" applyAlignment="1">
      <alignment horizontal="center"/>
    </xf>
    <xf numFmtId="166" fontId="7" fillId="15" borderId="37" xfId="0" applyNumberFormat="1" applyFont="1" applyFill="1" applyBorder="1" applyAlignment="1">
      <alignment horizontal="center"/>
    </xf>
    <xf numFmtId="166" fontId="7" fillId="7" borderId="15" xfId="0" applyNumberFormat="1" applyFont="1" applyFill="1" applyBorder="1" applyAlignment="1">
      <alignment horizontal="center"/>
    </xf>
    <xf numFmtId="166" fontId="7" fillId="15" borderId="14" xfId="0" applyNumberFormat="1" applyFont="1" applyFill="1" applyBorder="1" applyAlignment="1">
      <alignment horizontal="center"/>
    </xf>
    <xf numFmtId="166" fontId="27" fillId="6" borderId="15" xfId="0" applyNumberFormat="1" applyFont="1" applyFill="1" applyBorder="1" applyAlignment="1">
      <alignment horizontal="center"/>
    </xf>
    <xf numFmtId="166" fontId="7" fillId="15" borderId="15" xfId="0" applyNumberFormat="1" applyFont="1" applyFill="1" applyBorder="1" applyAlignment="1">
      <alignment horizontal="center"/>
    </xf>
    <xf numFmtId="166" fontId="9" fillId="7" borderId="15" xfId="0" applyNumberFormat="1" applyFont="1" applyFill="1" applyBorder="1" applyAlignment="1">
      <alignment horizontal="center"/>
    </xf>
    <xf numFmtId="166" fontId="9" fillId="5" borderId="37" xfId="0" applyNumberFormat="1" applyFont="1" applyFill="1" applyBorder="1" applyAlignment="1">
      <alignment horizontal="center"/>
    </xf>
    <xf numFmtId="2" fontId="9" fillId="5" borderId="0" xfId="0" applyNumberFormat="1" applyFont="1" applyFill="1" applyAlignment="1">
      <alignment horizontal="center"/>
    </xf>
    <xf numFmtId="166" fontId="9" fillId="5" borderId="14" xfId="0" applyNumberFormat="1" applyFont="1" applyFill="1" applyBorder="1" applyAlignment="1">
      <alignment horizontal="center"/>
    </xf>
    <xf numFmtId="166" fontId="9" fillId="5" borderId="15" xfId="0" applyNumberFormat="1" applyFont="1" applyFill="1" applyBorder="1" applyAlignment="1">
      <alignment horizontal="center"/>
    </xf>
    <xf numFmtId="166" fontId="9" fillId="22" borderId="101" xfId="0" applyNumberFormat="1" applyFont="1" applyFill="1" applyBorder="1" applyAlignment="1">
      <alignment horizontal="center"/>
    </xf>
    <xf numFmtId="2" fontId="9" fillId="7" borderId="97" xfId="0" applyNumberFormat="1" applyFont="1" applyFill="1" applyBorder="1" applyAlignment="1">
      <alignment horizontal="center"/>
    </xf>
    <xf numFmtId="0" fontId="6" fillId="0" borderId="15" xfId="0" applyFont="1" applyBorder="1"/>
    <xf numFmtId="168" fontId="37" fillId="14" borderId="7" xfId="1" applyNumberFormat="1" applyFont="1" applyFill="1" applyBorder="1" applyAlignment="1">
      <alignment horizontal="center" vertical="center"/>
    </xf>
    <xf numFmtId="168" fontId="37" fillId="6" borderId="7" xfId="1" applyNumberFormat="1" applyFont="1" applyFill="1" applyBorder="1" applyAlignment="1">
      <alignment horizontal="center" vertical="center"/>
    </xf>
    <xf numFmtId="168" fontId="37" fillId="26" borderId="7" xfId="1" applyNumberFormat="1" applyFont="1" applyFill="1" applyBorder="1" applyAlignment="1">
      <alignment horizontal="center" vertical="center"/>
    </xf>
    <xf numFmtId="168" fontId="37" fillId="15" borderId="7" xfId="1" applyNumberFormat="1" applyFont="1" applyFill="1" applyBorder="1" applyAlignment="1">
      <alignment horizontal="center" vertical="center"/>
    </xf>
    <xf numFmtId="168" fontId="37" fillId="31" borderId="7" xfId="0" applyNumberFormat="1" applyFont="1" applyFill="1" applyBorder="1" applyAlignment="1">
      <alignment horizontal="center" vertical="center"/>
    </xf>
    <xf numFmtId="168" fontId="32" fillId="32" borderId="7" xfId="0" applyNumberFormat="1" applyFont="1" applyFill="1" applyBorder="1" applyAlignment="1">
      <alignment horizontal="center" vertical="center"/>
    </xf>
    <xf numFmtId="166" fontId="16" fillId="0" borderId="8" xfId="0" applyNumberFormat="1" applyFont="1" applyBorder="1" applyAlignment="1">
      <alignment horizontal="left"/>
    </xf>
    <xf numFmtId="164" fontId="16" fillId="0" borderId="8" xfId="0" applyNumberFormat="1" applyFont="1" applyBorder="1" applyAlignment="1">
      <alignment horizontal="left"/>
    </xf>
    <xf numFmtId="164" fontId="12" fillId="0" borderId="15" xfId="0" applyNumberFormat="1" applyFont="1" applyBorder="1" applyAlignment="1">
      <alignment horizontal="center"/>
    </xf>
    <xf numFmtId="164" fontId="16" fillId="0" borderId="35" xfId="0" applyNumberFormat="1" applyFont="1" applyBorder="1" applyAlignment="1">
      <alignment horizontal="left"/>
    </xf>
    <xf numFmtId="2" fontId="34" fillId="5" borderId="42" xfId="0" applyNumberFormat="1" applyFont="1" applyFill="1" applyBorder="1" applyAlignment="1">
      <alignment horizontal="center"/>
    </xf>
    <xf numFmtId="2" fontId="34" fillId="5" borderId="9" xfId="0" applyNumberFormat="1" applyFont="1" applyFill="1" applyBorder="1" applyAlignment="1">
      <alignment horizontal="center"/>
    </xf>
    <xf numFmtId="2" fontId="48" fillId="28" borderId="16" xfId="6" applyNumberFormat="1" applyFont="1" applyFill="1" applyBorder="1" applyAlignment="1">
      <alignment horizontal="center" vertical="center"/>
    </xf>
    <xf numFmtId="1" fontId="9" fillId="7" borderId="105" xfId="0" applyNumberFormat="1" applyFont="1" applyFill="1" applyBorder="1" applyAlignment="1">
      <alignment horizontal="center" vertical="center"/>
    </xf>
    <xf numFmtId="1" fontId="9" fillId="7" borderId="39" xfId="0" applyNumberFormat="1" applyFont="1" applyFill="1" applyBorder="1" applyAlignment="1">
      <alignment horizontal="center" vertical="center"/>
    </xf>
    <xf numFmtId="1" fontId="7" fillId="7" borderId="43" xfId="0" applyNumberFormat="1" applyFont="1" applyFill="1" applyBorder="1" applyAlignment="1">
      <alignment horizontal="center" vertical="center"/>
    </xf>
    <xf numFmtId="1" fontId="7" fillId="7" borderId="101" xfId="0" applyNumberFormat="1" applyFont="1" applyFill="1" applyBorder="1" applyAlignment="1">
      <alignment horizontal="center" vertical="center"/>
    </xf>
    <xf numFmtId="1" fontId="7" fillId="7" borderId="100" xfId="0" applyNumberFormat="1" applyFont="1" applyFill="1" applyBorder="1" applyAlignment="1">
      <alignment horizontal="center" vertical="center"/>
    </xf>
    <xf numFmtId="1" fontId="9" fillId="7" borderId="40" xfId="0" applyNumberFormat="1" applyFont="1" applyFill="1" applyBorder="1" applyAlignment="1">
      <alignment horizontal="center" vertical="center"/>
    </xf>
    <xf numFmtId="166" fontId="7" fillId="8" borderId="4" xfId="0" applyNumberFormat="1" applyFont="1" applyFill="1" applyBorder="1" applyAlignment="1">
      <alignment horizontal="center"/>
    </xf>
    <xf numFmtId="0" fontId="5" fillId="22" borderId="9" xfId="0" applyFont="1" applyFill="1" applyBorder="1" applyAlignment="1">
      <alignment horizontal="center" vertical="center" wrapText="1"/>
    </xf>
    <xf numFmtId="2" fontId="9" fillId="22" borderId="35" xfId="0" applyNumberFormat="1" applyFont="1" applyFill="1" applyBorder="1" applyAlignment="1">
      <alignment horizontal="center" vertical="center"/>
    </xf>
    <xf numFmtId="2" fontId="7" fillId="8" borderId="7" xfId="0" applyNumberFormat="1" applyFont="1" applyFill="1" applyBorder="1" applyAlignment="1">
      <alignment horizontal="center"/>
    </xf>
    <xf numFmtId="2" fontId="9" fillId="22" borderId="7" xfId="0" applyNumberFormat="1" applyFont="1" applyFill="1" applyBorder="1" applyAlignment="1">
      <alignment horizontal="center"/>
    </xf>
    <xf numFmtId="0" fontId="5" fillId="0" borderId="88" xfId="8" applyFont="1" applyBorder="1" applyAlignment="1">
      <alignment horizontal="center" vertical="center"/>
    </xf>
    <xf numFmtId="0" fontId="9" fillId="0" borderId="88" xfId="0" applyFont="1" applyBorder="1" applyAlignment="1">
      <alignment horizontal="center" vertical="center"/>
    </xf>
    <xf numFmtId="0" fontId="9" fillId="0" borderId="92" xfId="0" applyFont="1" applyBorder="1" applyAlignment="1">
      <alignment horizontal="center" vertical="center"/>
    </xf>
    <xf numFmtId="0" fontId="5" fillId="0" borderId="41" xfId="8" applyFont="1" applyBorder="1" applyAlignment="1">
      <alignment horizontal="center" vertical="center"/>
    </xf>
    <xf numFmtId="0" fontId="5" fillId="0" borderId="92" xfId="8" applyFont="1" applyBorder="1" applyAlignment="1">
      <alignment horizontal="center" vertical="center"/>
    </xf>
    <xf numFmtId="0" fontId="5" fillId="0" borderId="108" xfId="8" applyFont="1" applyBorder="1" applyAlignment="1">
      <alignment horizontal="center" vertical="center"/>
    </xf>
    <xf numFmtId="0" fontId="0" fillId="0" borderId="93" xfId="0" applyBorder="1"/>
    <xf numFmtId="0" fontId="9" fillId="0" borderId="88" xfId="8" applyFont="1" applyBorder="1" applyAlignment="1">
      <alignment horizontal="center" vertical="center"/>
    </xf>
    <xf numFmtId="0" fontId="9" fillId="0" borderId="90" xfId="8" applyFont="1" applyBorder="1" applyAlignment="1">
      <alignment horizontal="center" vertical="center"/>
    </xf>
    <xf numFmtId="0" fontId="9" fillId="7" borderId="90" xfId="8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4" fontId="9" fillId="0" borderId="11" xfId="8" applyNumberFormat="1" applyFont="1" applyBorder="1" applyAlignment="1">
      <alignment horizontal="center" vertical="center"/>
    </xf>
    <xf numFmtId="4" fontId="9" fillId="0" borderId="5" xfId="8" applyNumberFormat="1" applyFont="1" applyBorder="1" applyAlignment="1">
      <alignment horizontal="center" vertical="center"/>
    </xf>
    <xf numFmtId="4" fontId="9" fillId="7" borderId="5" xfId="8" applyNumberFormat="1" applyFont="1" applyFill="1" applyBorder="1" applyAlignment="1">
      <alignment horizontal="center" vertical="center"/>
    </xf>
    <xf numFmtId="4" fontId="9" fillId="0" borderId="102" xfId="0" applyNumberFormat="1" applyFont="1" applyBorder="1" applyAlignment="1">
      <alignment horizontal="center" vertical="center"/>
    </xf>
    <xf numFmtId="4" fontId="9" fillId="0" borderId="97" xfId="0" applyNumberFormat="1" applyFont="1" applyBorder="1" applyAlignment="1">
      <alignment horizontal="center" vertical="center"/>
    </xf>
    <xf numFmtId="2" fontId="21" fillId="7" borderId="2" xfId="6" applyNumberFormat="1" applyFont="1" applyFill="1" applyBorder="1" applyAlignment="1">
      <alignment horizontal="center" vertical="center"/>
    </xf>
    <xf numFmtId="2" fontId="28" fillId="0" borderId="43" xfId="0" applyNumberFormat="1" applyFont="1" applyBorder="1" applyAlignment="1">
      <alignment horizontal="center"/>
    </xf>
    <xf numFmtId="1" fontId="28" fillId="7" borderId="43" xfId="0" applyNumberFormat="1" applyFont="1" applyFill="1" applyBorder="1" applyAlignment="1">
      <alignment horizontal="center" vertical="center"/>
    </xf>
    <xf numFmtId="0" fontId="49" fillId="0" borderId="91" xfId="0" applyFont="1" applyBorder="1" applyAlignment="1">
      <alignment horizontal="center"/>
    </xf>
    <xf numFmtId="0" fontId="49" fillId="0" borderId="89" xfId="0" applyFont="1" applyBorder="1" applyAlignment="1">
      <alignment horizontal="center"/>
    </xf>
    <xf numFmtId="164" fontId="6" fillId="7" borderId="41" xfId="3" applyNumberFormat="1" applyFont="1" applyFill="1" applyBorder="1" applyAlignment="1">
      <alignment horizontal="center" vertical="center"/>
    </xf>
    <xf numFmtId="164" fontId="6" fillId="7" borderId="16" xfId="3" applyNumberFormat="1" applyFont="1" applyFill="1" applyBorder="1" applyAlignment="1">
      <alignment horizontal="center" vertical="center"/>
    </xf>
    <xf numFmtId="4" fontId="6" fillId="7" borderId="88" xfId="8" applyNumberFormat="1" applyFont="1" applyFill="1" applyBorder="1" applyAlignment="1">
      <alignment horizontal="center" vertical="center"/>
    </xf>
    <xf numFmtId="4" fontId="6" fillId="7" borderId="90" xfId="8" applyNumberFormat="1" applyFont="1" applyFill="1" applyBorder="1" applyAlignment="1">
      <alignment horizontal="center" vertical="center"/>
    </xf>
    <xf numFmtId="2" fontId="20" fillId="0" borderId="96" xfId="0" applyNumberFormat="1" applyFont="1" applyBorder="1" applyAlignment="1">
      <alignment horizontal="center" vertical="center"/>
    </xf>
    <xf numFmtId="2" fontId="20" fillId="9" borderId="99" xfId="3" applyNumberFormat="1" applyFont="1" applyFill="1" applyBorder="1" applyAlignment="1">
      <alignment horizontal="center" vertical="center"/>
    </xf>
    <xf numFmtId="0" fontId="19" fillId="4" borderId="99" xfId="3" applyFont="1" applyFill="1" applyBorder="1" applyAlignment="1">
      <alignment horizontal="center"/>
    </xf>
    <xf numFmtId="0" fontId="8" fillId="0" borderId="107" xfId="0" applyFont="1" applyBorder="1" applyAlignment="1">
      <alignment horizontal="center"/>
    </xf>
    <xf numFmtId="1" fontId="28" fillId="7" borderId="40" xfId="0" applyNumberFormat="1" applyFont="1" applyFill="1" applyBorder="1" applyAlignment="1">
      <alignment horizontal="center" vertical="center"/>
    </xf>
    <xf numFmtId="2" fontId="28" fillId="7" borderId="97" xfId="0" applyNumberFormat="1" applyFont="1" applyFill="1" applyBorder="1" applyAlignment="1">
      <alignment horizontal="center"/>
    </xf>
    <xf numFmtId="2" fontId="28" fillId="7" borderId="43" xfId="0" applyNumberFormat="1" applyFont="1" applyFill="1" applyBorder="1" applyAlignment="1">
      <alignment horizontal="center"/>
    </xf>
    <xf numFmtId="166" fontId="28" fillId="7" borderId="101" xfId="0" applyNumberFormat="1" applyFont="1" applyFill="1" applyBorder="1" applyAlignment="1">
      <alignment horizontal="center"/>
    </xf>
    <xf numFmtId="2" fontId="40" fillId="6" borderId="30" xfId="0" applyNumberFormat="1" applyFont="1" applyFill="1" applyBorder="1" applyAlignment="1">
      <alignment horizontal="center"/>
    </xf>
    <xf numFmtId="166" fontId="27" fillId="6" borderId="4" xfId="0" applyNumberFormat="1" applyFont="1" applyFill="1" applyBorder="1" applyAlignment="1">
      <alignment horizontal="center"/>
    </xf>
    <xf numFmtId="2" fontId="9" fillId="5" borderId="37" xfId="0" applyNumberFormat="1" applyFont="1" applyFill="1" applyBorder="1" applyAlignment="1">
      <alignment horizontal="center"/>
    </xf>
    <xf numFmtId="2" fontId="7" fillId="8" borderId="10" xfId="0" applyNumberFormat="1" applyFont="1" applyFill="1" applyBorder="1" applyAlignment="1">
      <alignment horizontal="center" vertical="center"/>
    </xf>
    <xf numFmtId="1" fontId="9" fillId="7" borderId="8" xfId="0" applyNumberFormat="1" applyFont="1" applyFill="1" applyBorder="1" applyAlignment="1">
      <alignment horizontal="center" vertical="center"/>
    </xf>
    <xf numFmtId="2" fontId="24" fillId="7" borderId="29" xfId="6" applyNumberFormat="1" applyFont="1" applyFill="1" applyBorder="1" applyAlignment="1">
      <alignment horizontal="center" vertical="center"/>
    </xf>
    <xf numFmtId="2" fontId="9" fillId="0" borderId="101" xfId="0" applyNumberFormat="1" applyFont="1" applyBorder="1" applyAlignment="1">
      <alignment horizontal="center"/>
    </xf>
    <xf numFmtId="1" fontId="28" fillId="34" borderId="39" xfId="0" applyNumberFormat="1" applyFont="1" applyFill="1" applyBorder="1" applyAlignment="1">
      <alignment horizontal="center" vertical="center"/>
    </xf>
    <xf numFmtId="1" fontId="28" fillId="34" borderId="45" xfId="0" applyNumberFormat="1" applyFont="1" applyFill="1" applyBorder="1" applyAlignment="1">
      <alignment horizontal="center" vertical="center"/>
    </xf>
    <xf numFmtId="2" fontId="50" fillId="34" borderId="41" xfId="6" applyNumberFormat="1" applyFont="1" applyFill="1" applyBorder="1" applyAlignment="1">
      <alignment horizontal="center" vertical="center"/>
    </xf>
    <xf numFmtId="2" fontId="28" fillId="34" borderId="45" xfId="0" applyNumberFormat="1" applyFont="1" applyFill="1" applyBorder="1" applyAlignment="1">
      <alignment horizontal="center"/>
    </xf>
    <xf numFmtId="166" fontId="28" fillId="34" borderId="45" xfId="0" applyNumberFormat="1" applyFont="1" applyFill="1" applyBorder="1" applyAlignment="1">
      <alignment horizontal="center"/>
    </xf>
    <xf numFmtId="1" fontId="28" fillId="34" borderId="35" xfId="0" applyNumberFormat="1" applyFont="1" applyFill="1" applyBorder="1" applyAlignment="1">
      <alignment horizontal="center" vertical="center"/>
    </xf>
    <xf numFmtId="1" fontId="28" fillId="34" borderId="50" xfId="0" applyNumberFormat="1" applyFont="1" applyFill="1" applyBorder="1" applyAlignment="1">
      <alignment horizontal="center" vertical="center"/>
    </xf>
    <xf numFmtId="2" fontId="50" fillId="34" borderId="108" xfId="6" applyNumberFormat="1" applyFont="1" applyFill="1" applyBorder="1" applyAlignment="1">
      <alignment horizontal="center" vertical="center"/>
    </xf>
    <xf numFmtId="2" fontId="28" fillId="34" borderId="50" xfId="0" applyNumberFormat="1" applyFont="1" applyFill="1" applyBorder="1" applyAlignment="1">
      <alignment horizontal="center"/>
    </xf>
    <xf numFmtId="166" fontId="28" fillId="34" borderId="37" xfId="0" applyNumberFormat="1" applyFont="1" applyFill="1" applyBorder="1" applyAlignment="1">
      <alignment horizontal="center"/>
    </xf>
    <xf numFmtId="0" fontId="51" fillId="13" borderId="16" xfId="6" applyFont="1" applyFill="1" applyBorder="1" applyAlignment="1">
      <alignment horizontal="center"/>
    </xf>
    <xf numFmtId="2" fontId="51" fillId="7" borderId="16" xfId="6" applyNumberFormat="1" applyFont="1" applyFill="1" applyBorder="1" applyAlignment="1">
      <alignment horizontal="center" vertical="center"/>
    </xf>
    <xf numFmtId="2" fontId="28" fillId="14" borderId="104" xfId="0" applyNumberFormat="1" applyFont="1" applyFill="1" applyBorder="1" applyAlignment="1">
      <alignment horizontal="center"/>
    </xf>
    <xf numFmtId="2" fontId="28" fillId="5" borderId="13" xfId="0" applyNumberFormat="1" applyFont="1" applyFill="1" applyBorder="1" applyAlignment="1">
      <alignment horizontal="center"/>
    </xf>
    <xf numFmtId="2" fontId="28" fillId="5" borderId="36" xfId="0" applyNumberFormat="1" applyFont="1" applyFill="1" applyBorder="1" applyAlignment="1">
      <alignment horizontal="center"/>
    </xf>
    <xf numFmtId="2" fontId="24" fillId="8" borderId="16" xfId="6" applyNumberFormat="1" applyFont="1" applyFill="1" applyBorder="1" applyAlignment="1">
      <alignment horizontal="center" vertical="center"/>
    </xf>
    <xf numFmtId="0" fontId="9" fillId="0" borderId="110" xfId="0" applyFont="1" applyBorder="1" applyAlignment="1">
      <alignment horizontal="center" vertical="center"/>
    </xf>
    <xf numFmtId="0" fontId="33" fillId="0" borderId="111" xfId="0" applyFont="1" applyBorder="1" applyAlignment="1">
      <alignment horizontal="center" vertical="center"/>
    </xf>
    <xf numFmtId="0" fontId="42" fillId="7" borderId="90" xfId="0" applyFont="1" applyFill="1" applyBorder="1" applyAlignment="1">
      <alignment horizontal="center" vertical="center"/>
    </xf>
    <xf numFmtId="0" fontId="7" fillId="17" borderId="91" xfId="0" applyFont="1" applyFill="1" applyBorder="1" applyAlignment="1">
      <alignment horizontal="center" vertical="center"/>
    </xf>
    <xf numFmtId="0" fontId="9" fillId="0" borderId="91" xfId="0" applyFont="1" applyBorder="1"/>
    <xf numFmtId="0" fontId="44" fillId="0" borderId="91" xfId="0" applyFont="1" applyBorder="1" applyAlignment="1">
      <alignment horizontal="center"/>
    </xf>
    <xf numFmtId="0" fontId="0" fillId="0" borderId="91" xfId="0" applyBorder="1"/>
    <xf numFmtId="0" fontId="42" fillId="7" borderId="92" xfId="0" applyFont="1" applyFill="1" applyBorder="1" applyAlignment="1">
      <alignment horizontal="center" vertical="center"/>
    </xf>
    <xf numFmtId="0" fontId="24" fillId="13" borderId="108" xfId="6" applyFont="1" applyFill="1" applyBorder="1" applyAlignment="1">
      <alignment horizontal="center"/>
    </xf>
    <xf numFmtId="2" fontId="24" fillId="8" borderId="108" xfId="6" applyNumberFormat="1" applyFont="1" applyFill="1" applyBorder="1" applyAlignment="1">
      <alignment horizontal="center" vertical="center"/>
    </xf>
    <xf numFmtId="2" fontId="5" fillId="28" borderId="7" xfId="0" applyNumberFormat="1" applyFont="1" applyFill="1" applyBorder="1" applyAlignment="1">
      <alignment horizontal="center" vertical="center"/>
    </xf>
    <xf numFmtId="168" fontId="7" fillId="8" borderId="7" xfId="0" applyNumberFormat="1" applyFont="1" applyFill="1" applyBorder="1" applyAlignment="1">
      <alignment horizontal="center" vertical="center"/>
    </xf>
    <xf numFmtId="2" fontId="0" fillId="0" borderId="89" xfId="0" applyNumberFormat="1" applyBorder="1" applyAlignment="1">
      <alignment horizontal="center"/>
    </xf>
    <xf numFmtId="2" fontId="0" fillId="0" borderId="93" xfId="0" applyNumberFormat="1" applyBorder="1" applyAlignment="1">
      <alignment horizontal="center"/>
    </xf>
    <xf numFmtId="2" fontId="9" fillId="0" borderId="93" xfId="0" applyNumberFormat="1" applyFont="1" applyBorder="1" applyAlignment="1">
      <alignment horizontal="center" vertical="center"/>
    </xf>
    <xf numFmtId="2" fontId="9" fillId="0" borderId="41" xfId="8" applyNumberFormat="1" applyFont="1" applyBorder="1" applyAlignment="1">
      <alignment horizontal="center" vertical="center"/>
    </xf>
    <xf numFmtId="2" fontId="9" fillId="0" borderId="16" xfId="8" applyNumberFormat="1" applyFont="1" applyBorder="1" applyAlignment="1">
      <alignment horizontal="center" vertical="center"/>
    </xf>
    <xf numFmtId="2" fontId="9" fillId="0" borderId="108" xfId="8" applyNumberFormat="1" applyFont="1" applyBorder="1" applyAlignment="1">
      <alignment horizontal="center" vertical="center"/>
    </xf>
    <xf numFmtId="2" fontId="7" fillId="14" borderId="35" xfId="0" applyNumberFormat="1" applyFont="1" applyFill="1" applyBorder="1" applyAlignment="1">
      <alignment horizontal="center" vertical="center"/>
    </xf>
    <xf numFmtId="2" fontId="7" fillId="14" borderId="9" xfId="0" applyNumberFormat="1" applyFont="1" applyFill="1" applyBorder="1" applyAlignment="1">
      <alignment horizontal="center"/>
    </xf>
    <xf numFmtId="166" fontId="7" fillId="14" borderId="101" xfId="0" applyNumberFormat="1" applyFont="1" applyFill="1" applyBorder="1" applyAlignment="1">
      <alignment horizontal="center"/>
    </xf>
    <xf numFmtId="2" fontId="9" fillId="5" borderId="14" xfId="0" applyNumberFormat="1" applyFont="1" applyFill="1" applyBorder="1" applyAlignment="1">
      <alignment horizontal="center"/>
    </xf>
    <xf numFmtId="2" fontId="7" fillId="0" borderId="36" xfId="0" applyNumberFormat="1" applyFont="1" applyBorder="1" applyAlignment="1">
      <alignment horizontal="right"/>
    </xf>
    <xf numFmtId="2" fontId="50" fillId="7" borderId="16" xfId="6" applyNumberFormat="1" applyFont="1" applyFill="1" applyBorder="1" applyAlignment="1">
      <alignment horizontal="center" vertical="center"/>
    </xf>
    <xf numFmtId="0" fontId="40" fillId="0" borderId="0" xfId="0" applyFont="1"/>
    <xf numFmtId="2" fontId="37" fillId="14" borderId="104" xfId="0" applyNumberFormat="1" applyFont="1" applyFill="1" applyBorder="1" applyAlignment="1">
      <alignment horizontal="center"/>
    </xf>
    <xf numFmtId="2" fontId="7" fillId="8" borderId="42" xfId="0" applyNumberFormat="1" applyFont="1" applyFill="1" applyBorder="1" applyAlignment="1">
      <alignment horizontal="center"/>
    </xf>
    <xf numFmtId="166" fontId="7" fillId="8" borderId="14" xfId="0" applyNumberFormat="1" applyFont="1" applyFill="1" applyBorder="1" applyAlignment="1">
      <alignment horizontal="center"/>
    </xf>
    <xf numFmtId="2" fontId="7" fillId="5" borderId="42" xfId="0" applyNumberFormat="1" applyFont="1" applyFill="1" applyBorder="1" applyAlignment="1">
      <alignment horizontal="center" vertical="center"/>
    </xf>
    <xf numFmtId="2" fontId="9" fillId="5" borderId="9" xfId="0" applyNumberFormat="1" applyFont="1" applyFill="1" applyBorder="1" applyAlignment="1">
      <alignment horizontal="center" vertical="center"/>
    </xf>
    <xf numFmtId="166" fontId="9" fillId="5" borderId="42" xfId="0" applyNumberFormat="1" applyFont="1" applyFill="1" applyBorder="1" applyAlignment="1">
      <alignment horizontal="center"/>
    </xf>
    <xf numFmtId="166" fontId="9" fillId="5" borderId="9" xfId="0" applyNumberFormat="1" applyFont="1" applyFill="1" applyBorder="1" applyAlignment="1">
      <alignment horizontal="center"/>
    </xf>
    <xf numFmtId="2" fontId="21" fillId="8" borderId="38" xfId="6" applyNumberFormat="1" applyFont="1" applyFill="1" applyBorder="1" applyAlignment="1">
      <alignment horizontal="center" vertical="center"/>
    </xf>
    <xf numFmtId="0" fontId="49" fillId="14" borderId="91" xfId="0" applyFont="1" applyFill="1" applyBorder="1" applyAlignment="1">
      <alignment horizontal="center"/>
    </xf>
    <xf numFmtId="0" fontId="9" fillId="14" borderId="90" xfId="8" applyFont="1" applyFill="1" applyBorder="1" applyAlignment="1">
      <alignment horizontal="center" vertical="center"/>
    </xf>
    <xf numFmtId="4" fontId="9" fillId="14" borderId="5" xfId="8" applyNumberFormat="1" applyFont="1" applyFill="1" applyBorder="1" applyAlignment="1">
      <alignment horizontal="center" vertical="center"/>
    </xf>
    <xf numFmtId="4" fontId="9" fillId="14" borderId="97" xfId="0" applyNumberFormat="1" applyFont="1" applyFill="1" applyBorder="1" applyAlignment="1">
      <alignment horizontal="center" vertical="center"/>
    </xf>
    <xf numFmtId="4" fontId="9" fillId="7" borderId="97" xfId="0" applyNumberFormat="1" applyFont="1" applyFill="1" applyBorder="1" applyAlignment="1">
      <alignment horizontal="center" vertical="center"/>
    </xf>
    <xf numFmtId="0" fontId="9" fillId="7" borderId="92" xfId="8" applyFont="1" applyFill="1" applyBorder="1" applyAlignment="1">
      <alignment horizontal="center" vertical="center"/>
    </xf>
    <xf numFmtId="4" fontId="9" fillId="7" borderId="49" xfId="8" applyNumberFormat="1" applyFont="1" applyFill="1" applyBorder="1" applyAlignment="1">
      <alignment horizontal="center" vertical="center"/>
    </xf>
    <xf numFmtId="4" fontId="9" fillId="7" borderId="98" xfId="0" applyNumberFormat="1" applyFont="1" applyFill="1" applyBorder="1" applyAlignment="1">
      <alignment horizontal="center" vertical="center"/>
    </xf>
    <xf numFmtId="15" fontId="52" fillId="35" borderId="3" xfId="0" applyNumberFormat="1" applyFont="1" applyFill="1" applyBorder="1" applyAlignment="1">
      <alignment horizontal="center"/>
    </xf>
    <xf numFmtId="15" fontId="52" fillId="35" borderId="4" xfId="0" applyNumberFormat="1" applyFont="1" applyFill="1" applyBorder="1" applyAlignment="1">
      <alignment horizontal="center"/>
    </xf>
    <xf numFmtId="169" fontId="9" fillId="0" borderId="0" xfId="0" applyNumberFormat="1" applyFont="1" applyAlignment="1">
      <alignment horizontal="left"/>
    </xf>
    <xf numFmtId="169" fontId="9" fillId="0" borderId="15" xfId="0" applyNumberFormat="1" applyFont="1" applyBorder="1" applyAlignment="1">
      <alignment horizontal="left"/>
    </xf>
    <xf numFmtId="0" fontId="7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15" xfId="0" applyBorder="1" applyAlignment="1">
      <alignment horizontal="left"/>
    </xf>
    <xf numFmtId="174" fontId="16" fillId="0" borderId="8" xfId="0" applyNumberFormat="1" applyFont="1" applyBorder="1" applyAlignment="1">
      <alignment horizontal="left"/>
    </xf>
    <xf numFmtId="174" fontId="16" fillId="0" borderId="15" xfId="0" applyNumberFormat="1" applyFont="1" applyBorder="1" applyAlignment="1">
      <alignment horizontal="left"/>
    </xf>
    <xf numFmtId="1" fontId="16" fillId="0" borderId="8" xfId="0" applyNumberFormat="1" applyFont="1" applyBorder="1" applyAlignment="1">
      <alignment horizontal="right"/>
    </xf>
    <xf numFmtId="1" fontId="16" fillId="0" borderId="0" xfId="0" applyNumberFormat="1" applyFont="1" applyAlignment="1">
      <alignment horizontal="right"/>
    </xf>
    <xf numFmtId="165" fontId="16" fillId="7" borderId="8" xfId="0" applyNumberFormat="1" applyFont="1" applyFill="1" applyBorder="1" applyAlignment="1">
      <alignment horizontal="left"/>
    </xf>
    <xf numFmtId="165" fontId="16" fillId="7" borderId="15" xfId="0" applyNumberFormat="1" applyFont="1" applyFill="1" applyBorder="1" applyAlignment="1">
      <alignment horizontal="left"/>
    </xf>
    <xf numFmtId="1" fontId="16" fillId="0" borderId="10" xfId="0" applyNumberFormat="1" applyFont="1" applyBorder="1" applyAlignment="1">
      <alignment horizontal="right"/>
    </xf>
    <xf numFmtId="1" fontId="16" fillId="0" borderId="13" xfId="0" applyNumberFormat="1" applyFont="1" applyBorder="1" applyAlignment="1">
      <alignment horizontal="right"/>
    </xf>
    <xf numFmtId="167" fontId="16" fillId="7" borderId="10" xfId="0" applyNumberFormat="1" applyFont="1" applyFill="1" applyBorder="1" applyAlignment="1">
      <alignment horizontal="left"/>
    </xf>
    <xf numFmtId="167" fontId="16" fillId="7" borderId="14" xfId="0" applyNumberFormat="1" applyFont="1" applyFill="1" applyBorder="1" applyAlignment="1">
      <alignment horizontal="left"/>
    </xf>
    <xf numFmtId="2" fontId="16" fillId="0" borderId="10" xfId="0" applyNumberFormat="1" applyFont="1" applyBorder="1" applyAlignment="1">
      <alignment horizontal="left"/>
    </xf>
    <xf numFmtId="2" fontId="16" fillId="0" borderId="14" xfId="0" applyNumberFormat="1" applyFont="1" applyBorder="1" applyAlignment="1">
      <alignment horizontal="left"/>
    </xf>
    <xf numFmtId="172" fontId="16" fillId="7" borderId="8" xfId="0" applyNumberFormat="1" applyFont="1" applyFill="1" applyBorder="1" applyAlignment="1">
      <alignment horizontal="left"/>
    </xf>
    <xf numFmtId="172" fontId="16" fillId="7" borderId="15" xfId="0" applyNumberFormat="1" applyFont="1" applyFill="1" applyBorder="1" applyAlignment="1">
      <alignment horizontal="left"/>
    </xf>
    <xf numFmtId="2" fontId="16" fillId="0" borderId="8" xfId="0" applyNumberFormat="1" applyFont="1" applyBorder="1" applyAlignment="1">
      <alignment horizontal="left"/>
    </xf>
    <xf numFmtId="2" fontId="16" fillId="0" borderId="15" xfId="0" applyNumberFormat="1" applyFont="1" applyBorder="1" applyAlignment="1">
      <alignment horizontal="left"/>
    </xf>
    <xf numFmtId="1" fontId="16" fillId="0" borderId="35" xfId="0" applyNumberFormat="1" applyFont="1" applyBorder="1" applyAlignment="1">
      <alignment horizontal="right"/>
    </xf>
    <xf numFmtId="1" fontId="16" fillId="0" borderId="36" xfId="0" applyNumberFormat="1" applyFont="1" applyBorder="1" applyAlignment="1">
      <alignment horizontal="right"/>
    </xf>
    <xf numFmtId="170" fontId="16" fillId="7" borderId="35" xfId="0" applyNumberFormat="1" applyFont="1" applyFill="1" applyBorder="1" applyAlignment="1">
      <alignment horizontal="left"/>
    </xf>
    <xf numFmtId="170" fontId="16" fillId="7" borderId="37" xfId="0" applyNumberFormat="1" applyFont="1" applyFill="1" applyBorder="1" applyAlignment="1">
      <alignment horizontal="left"/>
    </xf>
    <xf numFmtId="0" fontId="7" fillId="0" borderId="10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1" fontId="7" fillId="0" borderId="8" xfId="0" applyNumberFormat="1" applyFont="1" applyBorder="1" applyAlignment="1">
      <alignment horizontal="center" vertical="center" wrapText="1"/>
    </xf>
    <xf numFmtId="1" fontId="7" fillId="0" borderId="35" xfId="0" applyNumberFormat="1" applyFont="1" applyBorder="1" applyAlignment="1">
      <alignment horizontal="center" vertical="center" wrapText="1"/>
    </xf>
    <xf numFmtId="1" fontId="7" fillId="0" borderId="104" xfId="0" applyNumberFormat="1" applyFont="1" applyBorder="1" applyAlignment="1">
      <alignment horizontal="center" vertical="center" wrapText="1"/>
    </xf>
    <xf numFmtId="1" fontId="7" fillId="0" borderId="9" xfId="0" applyNumberFormat="1" applyFont="1" applyBorder="1" applyAlignment="1">
      <alignment horizontal="center" vertical="center" wrapText="1"/>
    </xf>
    <xf numFmtId="167" fontId="16" fillId="7" borderId="8" xfId="0" applyNumberFormat="1" applyFont="1" applyFill="1" applyBorder="1" applyAlignment="1">
      <alignment horizontal="left"/>
    </xf>
    <xf numFmtId="167" fontId="16" fillId="7" borderId="15" xfId="0" applyNumberFormat="1" applyFont="1" applyFill="1" applyBorder="1" applyAlignment="1">
      <alignment horizontal="left"/>
    </xf>
    <xf numFmtId="0" fontId="7" fillId="0" borderId="14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27" fillId="26" borderId="96" xfId="0" applyFont="1" applyFill="1" applyBorder="1" applyAlignment="1">
      <alignment horizontal="center" vertical="center" wrapText="1"/>
    </xf>
    <xf numFmtId="0" fontId="27" fillId="26" borderId="99" xfId="0" applyFont="1" applyFill="1" applyBorder="1" applyAlignment="1">
      <alignment horizontal="center" vertical="center" wrapText="1"/>
    </xf>
    <xf numFmtId="0" fontId="27" fillId="26" borderId="38" xfId="0" applyFont="1" applyFill="1" applyBorder="1" applyAlignment="1">
      <alignment horizontal="center" vertical="center" wrapText="1"/>
    </xf>
    <xf numFmtId="0" fontId="27" fillId="26" borderId="94" xfId="0" applyFont="1" applyFill="1" applyBorder="1" applyAlignment="1">
      <alignment horizontal="center" vertical="center" wrapText="1"/>
    </xf>
    <xf numFmtId="0" fontId="27" fillId="26" borderId="3" xfId="0" applyFont="1" applyFill="1" applyBorder="1" applyAlignment="1">
      <alignment horizontal="center" vertical="center" wrapText="1"/>
    </xf>
    <xf numFmtId="0" fontId="27" fillId="26" borderId="4" xfId="0" applyFont="1" applyFill="1" applyBorder="1" applyAlignment="1">
      <alignment horizontal="center" vertical="center" wrapText="1"/>
    </xf>
    <xf numFmtId="0" fontId="27" fillId="6" borderId="10" xfId="0" applyFont="1" applyFill="1" applyBorder="1" applyAlignment="1">
      <alignment horizontal="center" vertical="center" wrapText="1"/>
    </xf>
    <xf numFmtId="0" fontId="27" fillId="6" borderId="8" xfId="0" applyFont="1" applyFill="1" applyBorder="1" applyAlignment="1">
      <alignment horizontal="center" vertical="center" wrapText="1"/>
    </xf>
    <xf numFmtId="0" fontId="27" fillId="6" borderId="35" xfId="0" applyFont="1" applyFill="1" applyBorder="1" applyAlignment="1">
      <alignment horizontal="center" vertical="center" wrapText="1"/>
    </xf>
    <xf numFmtId="0" fontId="16" fillId="5" borderId="10" xfId="0" applyFont="1" applyFill="1" applyBorder="1" applyAlignment="1">
      <alignment horizontal="center" vertical="center" textRotation="90" wrapText="1"/>
    </xf>
    <xf numFmtId="0" fontId="16" fillId="5" borderId="8" xfId="0" applyFont="1" applyFill="1" applyBorder="1" applyAlignment="1">
      <alignment horizontal="center" vertical="center" textRotation="90" wrapText="1"/>
    </xf>
    <xf numFmtId="0" fontId="16" fillId="5" borderId="35" xfId="0" applyFont="1" applyFill="1" applyBorder="1" applyAlignment="1">
      <alignment horizontal="center" vertical="center" textRotation="90" wrapText="1"/>
    </xf>
    <xf numFmtId="1" fontId="7" fillId="5" borderId="10" xfId="0" applyNumberFormat="1" applyFont="1" applyFill="1" applyBorder="1" applyAlignment="1">
      <alignment horizontal="left"/>
    </xf>
    <xf numFmtId="1" fontId="7" fillId="5" borderId="13" xfId="0" applyNumberFormat="1" applyFont="1" applyFill="1" applyBorder="1" applyAlignment="1">
      <alignment horizontal="left"/>
    </xf>
    <xf numFmtId="0" fontId="7" fillId="5" borderId="13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1" fontId="7" fillId="5" borderId="8" xfId="0" applyNumberFormat="1" applyFont="1" applyFill="1" applyBorder="1" applyAlignment="1">
      <alignment horizontal="left"/>
    </xf>
    <xf numFmtId="1" fontId="7" fillId="5" borderId="0" xfId="0" applyNumberFormat="1" applyFont="1" applyFill="1" applyAlignment="1">
      <alignment horizontal="left"/>
    </xf>
    <xf numFmtId="0" fontId="7" fillId="5" borderId="0" xfId="0" applyFont="1" applyFill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1" fontId="7" fillId="5" borderId="35" xfId="0" applyNumberFormat="1" applyFont="1" applyFill="1" applyBorder="1" applyAlignment="1">
      <alignment horizontal="left"/>
    </xf>
    <xf numFmtId="1" fontId="7" fillId="5" borderId="36" xfId="0" applyNumberFormat="1" applyFont="1" applyFill="1" applyBorder="1" applyAlignment="1">
      <alignment horizontal="left"/>
    </xf>
    <xf numFmtId="2" fontId="7" fillId="0" borderId="42" xfId="0" applyNumberFormat="1" applyFont="1" applyBorder="1" applyAlignment="1">
      <alignment horizontal="center" vertical="center" wrapText="1"/>
    </xf>
    <xf numFmtId="2" fontId="7" fillId="0" borderId="9" xfId="0" applyNumberFormat="1" applyFont="1" applyBorder="1" applyAlignment="1">
      <alignment horizontal="center" vertical="center" wrapText="1"/>
    </xf>
    <xf numFmtId="2" fontId="7" fillId="0" borderId="104" xfId="0" applyNumberFormat="1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16" fillId="5" borderId="0" xfId="0" applyFont="1" applyFill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 wrapText="1"/>
    </xf>
    <xf numFmtId="1" fontId="7" fillId="8" borderId="30" xfId="0" applyNumberFormat="1" applyFont="1" applyFill="1" applyBorder="1" applyAlignment="1">
      <alignment horizontal="center" vertical="center"/>
    </xf>
    <xf numFmtId="1" fontId="7" fillId="8" borderId="4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7" fillId="15" borderId="42" xfId="0" applyFont="1" applyFill="1" applyBorder="1" applyAlignment="1">
      <alignment horizontal="center" vertical="center" wrapText="1"/>
    </xf>
    <xf numFmtId="0" fontId="27" fillId="15" borderId="104" xfId="0" applyFont="1" applyFill="1" applyBorder="1" applyAlignment="1">
      <alignment horizontal="center" vertical="center" wrapText="1"/>
    </xf>
    <xf numFmtId="0" fontId="27" fillId="15" borderId="9" xfId="0" applyFont="1" applyFill="1" applyBorder="1" applyAlignment="1">
      <alignment horizontal="center" vertical="center" wrapText="1"/>
    </xf>
    <xf numFmtId="0" fontId="30" fillId="15" borderId="10" xfId="0" applyFont="1" applyFill="1" applyBorder="1" applyAlignment="1">
      <alignment horizontal="center" vertical="center" textRotation="90"/>
    </xf>
    <xf numFmtId="0" fontId="30" fillId="15" borderId="8" xfId="0" applyFont="1" applyFill="1" applyBorder="1" applyAlignment="1">
      <alignment horizontal="center" vertical="center" textRotation="90"/>
    </xf>
    <xf numFmtId="1" fontId="27" fillId="15" borderId="10" xfId="0" applyNumberFormat="1" applyFont="1" applyFill="1" applyBorder="1" applyAlignment="1">
      <alignment horizontal="left" vertical="center"/>
    </xf>
    <xf numFmtId="1" fontId="27" fillId="15" borderId="13" xfId="0" applyNumberFormat="1" applyFont="1" applyFill="1" applyBorder="1" applyAlignment="1">
      <alignment horizontal="left" vertical="center"/>
    </xf>
    <xf numFmtId="0" fontId="30" fillId="15" borderId="13" xfId="0" applyFont="1" applyFill="1" applyBorder="1" applyAlignment="1">
      <alignment horizontal="left" vertical="center"/>
    </xf>
    <xf numFmtId="0" fontId="30" fillId="15" borderId="14" xfId="0" applyFont="1" applyFill="1" applyBorder="1" applyAlignment="1">
      <alignment horizontal="left" vertical="center"/>
    </xf>
    <xf numFmtId="1" fontId="27" fillId="6" borderId="8" xfId="0" applyNumberFormat="1" applyFont="1" applyFill="1" applyBorder="1" applyAlignment="1">
      <alignment horizontal="left" vertical="center"/>
    </xf>
    <xf numFmtId="1" fontId="27" fillId="6" borderId="0" xfId="0" applyNumberFormat="1" applyFont="1" applyFill="1" applyAlignment="1">
      <alignment horizontal="left" vertical="center"/>
    </xf>
    <xf numFmtId="0" fontId="30" fillId="15" borderId="0" xfId="0" applyFont="1" applyFill="1" applyAlignment="1">
      <alignment horizontal="left" vertical="center"/>
    </xf>
    <xf numFmtId="0" fontId="30" fillId="15" borderId="15" xfId="0" applyFont="1" applyFill="1" applyBorder="1" applyAlignment="1">
      <alignment horizontal="left" vertical="center"/>
    </xf>
    <xf numFmtId="1" fontId="27" fillId="15" borderId="8" xfId="0" applyNumberFormat="1" applyFont="1" applyFill="1" applyBorder="1" applyAlignment="1">
      <alignment horizontal="left" vertical="center"/>
    </xf>
    <xf numFmtId="1" fontId="27" fillId="15" borderId="0" xfId="0" applyNumberFormat="1" applyFont="1" applyFill="1" applyAlignment="1">
      <alignment horizontal="left" vertical="center"/>
    </xf>
    <xf numFmtId="1" fontId="9" fillId="7" borderId="90" xfId="0" applyNumberFormat="1" applyFont="1" applyFill="1" applyBorder="1" applyAlignment="1">
      <alignment horizontal="center" vertical="center"/>
    </xf>
    <xf numFmtId="1" fontId="9" fillId="7" borderId="91" xfId="0" applyNumberFormat="1" applyFont="1" applyFill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100" xfId="0" applyFont="1" applyBorder="1" applyAlignment="1">
      <alignment horizontal="center" vertical="center"/>
    </xf>
    <xf numFmtId="0" fontId="27" fillId="6" borderId="96" xfId="0" applyFont="1" applyFill="1" applyBorder="1" applyAlignment="1">
      <alignment horizontal="center" vertical="center"/>
    </xf>
    <xf numFmtId="0" fontId="27" fillId="6" borderId="107" xfId="0" applyFont="1" applyFill="1" applyBorder="1" applyAlignment="1">
      <alignment horizontal="center" vertical="center"/>
    </xf>
    <xf numFmtId="1" fontId="27" fillId="15" borderId="35" xfId="0" applyNumberFormat="1" applyFont="1" applyFill="1" applyBorder="1" applyAlignment="1">
      <alignment horizontal="left" vertical="center"/>
    </xf>
    <xf numFmtId="1" fontId="27" fillId="15" borderId="36" xfId="0" applyNumberFormat="1" applyFont="1" applyFill="1" applyBorder="1" applyAlignment="1">
      <alignment horizontal="left" vertical="center"/>
    </xf>
    <xf numFmtId="0" fontId="30" fillId="15" borderId="36" xfId="0" applyFont="1" applyFill="1" applyBorder="1" applyAlignment="1">
      <alignment horizontal="left" vertical="center"/>
    </xf>
    <xf numFmtId="0" fontId="30" fillId="15" borderId="37" xfId="0" applyFont="1" applyFill="1" applyBorder="1" applyAlignment="1">
      <alignment horizontal="left" vertical="center"/>
    </xf>
    <xf numFmtId="1" fontId="9" fillId="7" borderId="88" xfId="0" applyNumberFormat="1" applyFont="1" applyFill="1" applyBorder="1" applyAlignment="1">
      <alignment horizontal="center" vertical="center"/>
    </xf>
    <xf numFmtId="1" fontId="9" fillId="7" borderId="89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43" fillId="27" borderId="10" xfId="0" applyFont="1" applyFill="1" applyBorder="1" applyAlignment="1">
      <alignment horizontal="center"/>
    </xf>
    <xf numFmtId="0" fontId="43" fillId="27" borderId="14" xfId="0" applyFont="1" applyFill="1" applyBorder="1" applyAlignment="1">
      <alignment horizontal="center"/>
    </xf>
    <xf numFmtId="0" fontId="34" fillId="27" borderId="35" xfId="0" applyFont="1" applyFill="1" applyBorder="1" applyAlignment="1">
      <alignment horizontal="center"/>
    </xf>
    <xf numFmtId="0" fontId="34" fillId="27" borderId="37" xfId="0" applyFont="1" applyFill="1" applyBorder="1" applyAlignment="1">
      <alignment horizontal="center"/>
    </xf>
    <xf numFmtId="0" fontId="34" fillId="25" borderId="10" xfId="0" applyFont="1" applyFill="1" applyBorder="1" applyAlignment="1">
      <alignment horizontal="center"/>
    </xf>
    <xf numFmtId="0" fontId="34" fillId="25" borderId="14" xfId="0" applyFont="1" applyFill="1" applyBorder="1" applyAlignment="1">
      <alignment horizontal="center"/>
    </xf>
    <xf numFmtId="168" fontId="27" fillId="14" borderId="10" xfId="0" applyNumberFormat="1" applyFont="1" applyFill="1" applyBorder="1" applyAlignment="1">
      <alignment horizontal="center" vertical="center" wrapText="1"/>
    </xf>
    <xf numFmtId="168" fontId="27" fillId="14" borderId="14" xfId="0" applyNumberFormat="1" applyFont="1" applyFill="1" applyBorder="1" applyAlignment="1">
      <alignment horizontal="center" vertical="center" wrapText="1"/>
    </xf>
    <xf numFmtId="168" fontId="27" fillId="14" borderId="35" xfId="0" applyNumberFormat="1" applyFont="1" applyFill="1" applyBorder="1" applyAlignment="1">
      <alignment horizontal="center" vertical="center" wrapText="1"/>
    </xf>
    <xf numFmtId="168" fontId="27" fillId="14" borderId="37" xfId="0" applyNumberFormat="1" applyFont="1" applyFill="1" applyBorder="1" applyAlignment="1">
      <alignment horizontal="center" vertical="center" wrapText="1"/>
    </xf>
    <xf numFmtId="0" fontId="9" fillId="0" borderId="33" xfId="0" applyFont="1" applyBorder="1" applyAlignment="1">
      <alignment horizontal="center"/>
    </xf>
    <xf numFmtId="0" fontId="9" fillId="0" borderId="101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34" fillId="25" borderId="35" xfId="0" applyFont="1" applyFill="1" applyBorder="1" applyAlignment="1">
      <alignment horizontal="center"/>
    </xf>
    <xf numFmtId="0" fontId="34" fillId="25" borderId="37" xfId="0" applyFont="1" applyFill="1" applyBorder="1" applyAlignment="1">
      <alignment horizontal="center"/>
    </xf>
    <xf numFmtId="1" fontId="28" fillId="34" borderId="88" xfId="0" applyNumberFormat="1" applyFont="1" applyFill="1" applyBorder="1" applyAlignment="1">
      <alignment horizontal="center" vertical="center"/>
    </xf>
    <xf numFmtId="1" fontId="28" fillId="34" borderId="89" xfId="0" applyNumberFormat="1" applyFont="1" applyFill="1" applyBorder="1" applyAlignment="1">
      <alignment horizontal="center" vertical="center"/>
    </xf>
    <xf numFmtId="0" fontId="28" fillId="34" borderId="44" xfId="0" applyFont="1" applyFill="1" applyBorder="1" applyAlignment="1">
      <alignment horizontal="center"/>
    </xf>
    <xf numFmtId="0" fontId="28" fillId="34" borderId="45" xfId="0" applyFont="1" applyFill="1" applyBorder="1" applyAlignment="1">
      <alignment horizontal="center"/>
    </xf>
    <xf numFmtId="1" fontId="28" fillId="34" borderId="92" xfId="0" applyNumberFormat="1" applyFont="1" applyFill="1" applyBorder="1" applyAlignment="1">
      <alignment horizontal="center" vertical="center"/>
    </xf>
    <xf numFmtId="1" fontId="28" fillId="34" borderId="93" xfId="0" applyNumberFormat="1" applyFont="1" applyFill="1" applyBorder="1" applyAlignment="1">
      <alignment horizontal="center" vertical="center"/>
    </xf>
    <xf numFmtId="0" fontId="28" fillId="34" borderId="47" xfId="0" applyFont="1" applyFill="1" applyBorder="1" applyAlignment="1">
      <alignment horizontal="center"/>
    </xf>
    <xf numFmtId="0" fontId="28" fillId="34" borderId="50" xfId="0" applyFont="1" applyFill="1" applyBorder="1" applyAlignment="1">
      <alignment horizontal="center"/>
    </xf>
    <xf numFmtId="1" fontId="9" fillId="7" borderId="110" xfId="0" applyNumberFormat="1" applyFont="1" applyFill="1" applyBorder="1" applyAlignment="1">
      <alignment horizontal="center" vertical="center"/>
    </xf>
    <xf numFmtId="1" fontId="9" fillId="7" borderId="111" xfId="0" applyNumberFormat="1" applyFont="1" applyFill="1" applyBorder="1" applyAlignment="1">
      <alignment horizontal="center" vertical="center"/>
    </xf>
    <xf numFmtId="1" fontId="9" fillId="7" borderId="109" xfId="0" applyNumberFormat="1" applyFont="1" applyFill="1" applyBorder="1" applyAlignment="1">
      <alignment horizontal="center" vertical="center"/>
    </xf>
    <xf numFmtId="1" fontId="9" fillId="7" borderId="95" xfId="0" applyNumberFormat="1" applyFont="1" applyFill="1" applyBorder="1" applyAlignment="1">
      <alignment horizontal="center" vertical="center"/>
    </xf>
    <xf numFmtId="0" fontId="9" fillId="0" borderId="32" xfId="0" applyFont="1" applyBorder="1" applyAlignment="1">
      <alignment horizontal="center"/>
    </xf>
    <xf numFmtId="0" fontId="9" fillId="0" borderId="100" xfId="0" applyFont="1" applyBorder="1" applyAlignment="1">
      <alignment horizontal="center"/>
    </xf>
    <xf numFmtId="0" fontId="9" fillId="7" borderId="34" xfId="0" applyFont="1" applyFill="1" applyBorder="1" applyAlignment="1">
      <alignment horizontal="center"/>
    </xf>
    <xf numFmtId="0" fontId="9" fillId="7" borderId="43" xfId="0" applyFont="1" applyFill="1" applyBorder="1" applyAlignment="1">
      <alignment horizontal="center"/>
    </xf>
    <xf numFmtId="0" fontId="7" fillId="30" borderId="102" xfId="0" applyFont="1" applyFill="1" applyBorder="1" applyAlignment="1">
      <alignment horizontal="center" vertical="center" wrapText="1"/>
    </xf>
    <xf numFmtId="0" fontId="7" fillId="30" borderId="97" xfId="0" applyFont="1" applyFill="1" applyBorder="1" applyAlignment="1">
      <alignment horizontal="center" vertical="center" wrapText="1"/>
    </xf>
    <xf numFmtId="0" fontId="7" fillId="30" borderId="98" xfId="0" applyFont="1" applyFill="1" applyBorder="1" applyAlignment="1">
      <alignment horizontal="center" vertical="center" wrapText="1"/>
    </xf>
    <xf numFmtId="0" fontId="7" fillId="5" borderId="39" xfId="0" applyFont="1" applyFill="1" applyBorder="1" applyAlignment="1">
      <alignment horizontal="center" vertical="center" textRotation="90" wrapText="1"/>
    </xf>
    <xf numFmtId="0" fontId="7" fillId="5" borderId="40" xfId="0" applyFont="1" applyFill="1" applyBorder="1" applyAlignment="1">
      <alignment horizontal="center" vertical="center" textRotation="90" wrapText="1"/>
    </xf>
    <xf numFmtId="0" fontId="7" fillId="5" borderId="46" xfId="0" applyFont="1" applyFill="1" applyBorder="1" applyAlignment="1">
      <alignment horizontal="center" vertical="center" textRotation="90" wrapText="1"/>
    </xf>
    <xf numFmtId="164" fontId="7" fillId="5" borderId="10" xfId="0" applyNumberFormat="1" applyFont="1" applyFill="1" applyBorder="1" applyAlignment="1">
      <alignment horizontal="left" vertical="center"/>
    </xf>
    <xf numFmtId="164" fontId="7" fillId="5" borderId="13" xfId="0" applyNumberFormat="1" applyFont="1" applyFill="1" applyBorder="1" applyAlignment="1">
      <alignment horizontal="left" vertical="center"/>
    </xf>
    <xf numFmtId="0" fontId="27" fillId="26" borderId="3" xfId="0" applyFont="1" applyFill="1" applyBorder="1" applyAlignment="1">
      <alignment horizontal="center" vertical="center"/>
    </xf>
    <xf numFmtId="0" fontId="27" fillId="26" borderId="4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164" fontId="7" fillId="5" borderId="8" xfId="0" applyNumberFormat="1" applyFont="1" applyFill="1" applyBorder="1" applyAlignment="1">
      <alignment horizontal="left" vertical="center"/>
    </xf>
    <xf numFmtId="164" fontId="7" fillId="5" borderId="0" xfId="0" applyNumberFormat="1" applyFont="1" applyFill="1" applyAlignment="1">
      <alignment horizontal="left" vertical="center"/>
    </xf>
    <xf numFmtId="164" fontId="27" fillId="6" borderId="3" xfId="0" applyNumberFormat="1" applyFont="1" applyFill="1" applyBorder="1" applyAlignment="1">
      <alignment horizontal="left" vertical="center"/>
    </xf>
    <xf numFmtId="164" fontId="27" fillId="6" borderId="30" xfId="0" applyNumberFormat="1" applyFont="1" applyFill="1" applyBorder="1" applyAlignment="1">
      <alignment horizontal="left" vertical="center"/>
    </xf>
    <xf numFmtId="0" fontId="5" fillId="5" borderId="0" xfId="0" applyFont="1" applyFill="1" applyAlignment="1">
      <alignment horizontal="center" vertical="top" wrapText="1"/>
    </xf>
    <xf numFmtId="0" fontId="5" fillId="5" borderId="15" xfId="0" applyFont="1" applyFill="1" applyBorder="1" applyAlignment="1">
      <alignment horizontal="center" vertical="top" wrapText="1"/>
    </xf>
    <xf numFmtId="164" fontId="7" fillId="5" borderId="35" xfId="0" applyNumberFormat="1" applyFont="1" applyFill="1" applyBorder="1" applyAlignment="1">
      <alignment horizontal="left" vertical="center"/>
    </xf>
    <xf numFmtId="164" fontId="7" fillId="5" borderId="36" xfId="0" applyNumberFormat="1" applyFont="1" applyFill="1" applyBorder="1" applyAlignment="1">
      <alignment horizontal="left" vertical="center"/>
    </xf>
    <xf numFmtId="0" fontId="9" fillId="0" borderId="40" xfId="0" applyFont="1" applyBorder="1" applyAlignment="1">
      <alignment horizontal="center"/>
    </xf>
    <xf numFmtId="1" fontId="7" fillId="5" borderId="35" xfId="0" applyNumberFormat="1" applyFont="1" applyFill="1" applyBorder="1" applyAlignment="1">
      <alignment horizontal="left" vertical="center"/>
    </xf>
    <xf numFmtId="1" fontId="7" fillId="5" borderId="36" xfId="0" applyNumberFormat="1" applyFont="1" applyFill="1" applyBorder="1" applyAlignment="1">
      <alignment horizontal="left" vertical="center"/>
    </xf>
    <xf numFmtId="1" fontId="37" fillId="14" borderId="8" xfId="0" applyNumberFormat="1" applyFont="1" applyFill="1" applyBorder="1" applyAlignment="1">
      <alignment horizontal="left" vertical="center"/>
    </xf>
    <xf numFmtId="1" fontId="37" fillId="14" borderId="0" xfId="0" applyNumberFormat="1" applyFont="1" applyFill="1" applyAlignment="1">
      <alignment horizontal="left" vertical="center"/>
    </xf>
    <xf numFmtId="1" fontId="7" fillId="8" borderId="103" xfId="0" applyNumberFormat="1" applyFont="1" applyFill="1" applyBorder="1" applyAlignment="1">
      <alignment horizontal="center" vertical="center"/>
    </xf>
    <xf numFmtId="0" fontId="27" fillId="6" borderId="104" xfId="0" applyFont="1" applyFill="1" applyBorder="1" applyAlignment="1">
      <alignment horizontal="center" vertical="center" wrapText="1"/>
    </xf>
    <xf numFmtId="1" fontId="7" fillId="5" borderId="10" xfId="0" applyNumberFormat="1" applyFont="1" applyFill="1" applyBorder="1" applyAlignment="1">
      <alignment horizontal="left" vertical="center"/>
    </xf>
    <xf numFmtId="1" fontId="7" fillId="5" borderId="13" xfId="0" applyNumberFormat="1" applyFont="1" applyFill="1" applyBorder="1" applyAlignment="1">
      <alignment horizontal="left" vertical="center"/>
    </xf>
    <xf numFmtId="1" fontId="28" fillId="7" borderId="90" xfId="0" applyNumberFormat="1" applyFont="1" applyFill="1" applyBorder="1" applyAlignment="1">
      <alignment horizontal="center" vertical="center"/>
    </xf>
    <xf numFmtId="1" fontId="28" fillId="7" borderId="91" xfId="0" applyNumberFormat="1" applyFont="1" applyFill="1" applyBorder="1" applyAlignment="1">
      <alignment horizontal="center" vertical="center"/>
    </xf>
    <xf numFmtId="0" fontId="28" fillId="0" borderId="40" xfId="0" applyFont="1" applyBorder="1" applyAlignment="1">
      <alignment horizontal="center"/>
    </xf>
    <xf numFmtId="0" fontId="28" fillId="0" borderId="43" xfId="0" applyFont="1" applyBorder="1" applyAlignment="1">
      <alignment horizontal="center"/>
    </xf>
    <xf numFmtId="2" fontId="7" fillId="5" borderId="13" xfId="0" applyNumberFormat="1" applyFont="1" applyFill="1" applyBorder="1" applyAlignment="1">
      <alignment horizontal="center"/>
    </xf>
    <xf numFmtId="2" fontId="7" fillId="5" borderId="14" xfId="0" applyNumberFormat="1" applyFont="1" applyFill="1" applyBorder="1" applyAlignment="1">
      <alignment horizontal="center"/>
    </xf>
    <xf numFmtId="2" fontId="7" fillId="5" borderId="36" xfId="0" applyNumberFormat="1" applyFont="1" applyFill="1" applyBorder="1" applyAlignment="1">
      <alignment horizontal="center"/>
    </xf>
    <xf numFmtId="2" fontId="7" fillId="5" borderId="37" xfId="0" applyNumberFormat="1" applyFont="1" applyFill="1" applyBorder="1" applyAlignment="1">
      <alignment horizontal="center"/>
    </xf>
    <xf numFmtId="0" fontId="9" fillId="14" borderId="105" xfId="0" applyFont="1" applyFill="1" applyBorder="1" applyAlignment="1">
      <alignment horizontal="center"/>
    </xf>
    <xf numFmtId="0" fontId="9" fillId="14" borderId="101" xfId="0" applyFont="1" applyFill="1" applyBorder="1" applyAlignment="1">
      <alignment horizontal="center"/>
    </xf>
    <xf numFmtId="15" fontId="47" fillId="33" borderId="3" xfId="0" applyNumberFormat="1" applyFont="1" applyFill="1" applyBorder="1" applyAlignment="1">
      <alignment horizontal="center"/>
    </xf>
    <xf numFmtId="15" fontId="47" fillId="33" borderId="4" xfId="0" applyNumberFormat="1" applyFont="1" applyFill="1" applyBorder="1" applyAlignment="1">
      <alignment horizontal="center"/>
    </xf>
    <xf numFmtId="0" fontId="39" fillId="19" borderId="106" xfId="0" applyFont="1" applyFill="1" applyBorder="1" applyAlignment="1">
      <alignment horizontal="center" vertical="center"/>
    </xf>
    <xf numFmtId="0" fontId="39" fillId="19" borderId="107" xfId="0" applyFont="1" applyFill="1" applyBorder="1" applyAlignment="1">
      <alignment horizontal="center" vertical="center"/>
    </xf>
    <xf numFmtId="0" fontId="7" fillId="18" borderId="3" xfId="0" applyFont="1" applyFill="1" applyBorder="1" applyAlignment="1">
      <alignment horizontal="left" vertical="center"/>
    </xf>
    <xf numFmtId="0" fontId="7" fillId="18" borderId="4" xfId="0" applyFont="1" applyFill="1" applyBorder="1" applyAlignment="1">
      <alignment horizontal="left" vertical="center"/>
    </xf>
    <xf numFmtId="0" fontId="31" fillId="20" borderId="13" xfId="0" applyFont="1" applyFill="1" applyBorder="1" applyAlignment="1">
      <alignment horizontal="center" vertical="center"/>
    </xf>
    <xf numFmtId="0" fontId="31" fillId="20" borderId="14" xfId="0" applyFont="1" applyFill="1" applyBorder="1" applyAlignment="1">
      <alignment horizontal="center" vertical="center"/>
    </xf>
    <xf numFmtId="0" fontId="7" fillId="16" borderId="42" xfId="0" applyFont="1" applyFill="1" applyBorder="1" applyAlignment="1">
      <alignment horizontal="center" vertical="center" wrapText="1"/>
    </xf>
    <xf numFmtId="0" fontId="7" fillId="16" borderId="9" xfId="0" applyFont="1" applyFill="1" applyBorder="1" applyAlignment="1">
      <alignment horizontal="center" vertical="center" wrapText="1"/>
    </xf>
    <xf numFmtId="168" fontId="5" fillId="16" borderId="42" xfId="0" applyNumberFormat="1" applyFont="1" applyFill="1" applyBorder="1" applyAlignment="1">
      <alignment horizontal="center" vertical="center" wrapText="1"/>
    </xf>
    <xf numFmtId="168" fontId="5" fillId="16" borderId="9" xfId="0" applyNumberFormat="1" applyFont="1" applyFill="1" applyBorder="1" applyAlignment="1">
      <alignment horizontal="center" vertical="center" wrapText="1"/>
    </xf>
    <xf numFmtId="2" fontId="9" fillId="5" borderId="36" xfId="0" applyNumberFormat="1" applyFont="1" applyFill="1" applyBorder="1" applyAlignment="1">
      <alignment horizontal="center"/>
    </xf>
    <xf numFmtId="2" fontId="9" fillId="5" borderId="37" xfId="0" applyNumberFormat="1" applyFont="1" applyFill="1" applyBorder="1" applyAlignment="1">
      <alignment horizontal="center"/>
    </xf>
    <xf numFmtId="1" fontId="37" fillId="14" borderId="10" xfId="0" applyNumberFormat="1" applyFont="1" applyFill="1" applyBorder="1" applyAlignment="1">
      <alignment horizontal="left" vertical="center"/>
    </xf>
    <xf numFmtId="1" fontId="37" fillId="14" borderId="13" xfId="0" applyNumberFormat="1" applyFont="1" applyFill="1" applyBorder="1" applyAlignment="1">
      <alignment horizontal="left" vertical="center"/>
    </xf>
    <xf numFmtId="2" fontId="12" fillId="0" borderId="30" xfId="0" applyNumberFormat="1" applyFont="1" applyBorder="1" applyAlignment="1">
      <alignment horizontal="center"/>
    </xf>
    <xf numFmtId="0" fontId="41" fillId="7" borderId="30" xfId="0" applyFont="1" applyFill="1" applyBorder="1" applyAlignment="1">
      <alignment horizontal="center" vertical="center" wrapText="1"/>
    </xf>
    <xf numFmtId="0" fontId="41" fillId="7" borderId="4" xfId="0" applyFont="1" applyFill="1" applyBorder="1" applyAlignment="1">
      <alignment horizontal="center" vertical="center" wrapText="1"/>
    </xf>
    <xf numFmtId="0" fontId="5" fillId="22" borderId="35" xfId="0" applyFont="1" applyFill="1" applyBorder="1" applyAlignment="1">
      <alignment horizontal="center" vertical="center" wrapText="1"/>
    </xf>
    <xf numFmtId="0" fontId="5" fillId="22" borderId="36" xfId="0" applyFont="1" applyFill="1" applyBorder="1" applyAlignment="1">
      <alignment horizontal="center" vertical="center" wrapText="1"/>
    </xf>
    <xf numFmtId="0" fontId="5" fillId="22" borderId="37" xfId="0" applyFont="1" applyFill="1" applyBorder="1" applyAlignment="1">
      <alignment horizontal="center" vertical="center" wrapText="1"/>
    </xf>
    <xf numFmtId="0" fontId="38" fillId="10" borderId="3" xfId="0" applyFont="1" applyFill="1" applyBorder="1" applyAlignment="1">
      <alignment horizontal="center"/>
    </xf>
    <xf numFmtId="0" fontId="38" fillId="10" borderId="30" xfId="0" applyFont="1" applyFill="1" applyBorder="1" applyAlignment="1">
      <alignment horizontal="center"/>
    </xf>
    <xf numFmtId="0" fontId="38" fillId="10" borderId="4" xfId="0" applyFont="1" applyFill="1" applyBorder="1" applyAlignment="1">
      <alignment horizontal="center"/>
    </xf>
    <xf numFmtId="0" fontId="5" fillId="28" borderId="42" xfId="0" applyFont="1" applyFill="1" applyBorder="1" applyAlignment="1">
      <alignment horizontal="center" vertical="center" wrapText="1"/>
    </xf>
    <xf numFmtId="0" fontId="5" fillId="28" borderId="104" xfId="0" applyFont="1" applyFill="1" applyBorder="1" applyAlignment="1">
      <alignment horizontal="center" vertical="center" wrapText="1"/>
    </xf>
    <xf numFmtId="0" fontId="5" fillId="28" borderId="9" xfId="0" applyFont="1" applyFill="1" applyBorder="1" applyAlignment="1">
      <alignment horizontal="center" vertical="center" wrapText="1"/>
    </xf>
    <xf numFmtId="168" fontId="8" fillId="7" borderId="42" xfId="0" applyNumberFormat="1" applyFont="1" applyFill="1" applyBorder="1" applyAlignment="1">
      <alignment horizontal="center" vertical="center"/>
    </xf>
    <xf numFmtId="168" fontId="8" fillId="7" borderId="104" xfId="0" applyNumberFormat="1" applyFont="1" applyFill="1" applyBorder="1" applyAlignment="1">
      <alignment horizontal="center" vertical="center"/>
    </xf>
    <xf numFmtId="168" fontId="8" fillId="7" borderId="9" xfId="0" applyNumberFormat="1" applyFont="1" applyFill="1" applyBorder="1" applyAlignment="1">
      <alignment horizontal="center" vertical="center"/>
    </xf>
    <xf numFmtId="2" fontId="9" fillId="5" borderId="3" xfId="0" applyNumberFormat="1" applyFont="1" applyFill="1" applyBorder="1" applyAlignment="1">
      <alignment horizontal="center"/>
    </xf>
    <xf numFmtId="2" fontId="9" fillId="5" borderId="30" xfId="0" applyNumberFormat="1" applyFont="1" applyFill="1" applyBorder="1" applyAlignment="1">
      <alignment horizontal="center"/>
    </xf>
    <xf numFmtId="2" fontId="9" fillId="5" borderId="4" xfId="0" applyNumberFormat="1" applyFont="1" applyFill="1" applyBorder="1" applyAlignment="1">
      <alignment horizontal="center"/>
    </xf>
    <xf numFmtId="2" fontId="35" fillId="14" borderId="3" xfId="0" applyNumberFormat="1" applyFont="1" applyFill="1" applyBorder="1" applyAlignment="1">
      <alignment horizontal="center"/>
    </xf>
    <xf numFmtId="2" fontId="35" fillId="14" borderId="30" xfId="0" applyNumberFormat="1" applyFont="1" applyFill="1" applyBorder="1" applyAlignment="1">
      <alignment horizontal="center"/>
    </xf>
    <xf numFmtId="2" fontId="35" fillId="14" borderId="4" xfId="0" applyNumberFormat="1" applyFont="1" applyFill="1" applyBorder="1" applyAlignment="1">
      <alignment horizontal="center"/>
    </xf>
    <xf numFmtId="0" fontId="7" fillId="28" borderId="3" xfId="0" applyFont="1" applyFill="1" applyBorder="1" applyAlignment="1">
      <alignment horizontal="center"/>
    </xf>
    <xf numFmtId="0" fontId="7" fillId="28" borderId="4" xfId="0" applyFont="1" applyFill="1" applyBorder="1" applyAlignment="1">
      <alignment horizontal="center"/>
    </xf>
    <xf numFmtId="0" fontId="5" fillId="5" borderId="36" xfId="0" applyFont="1" applyFill="1" applyBorder="1" applyAlignment="1">
      <alignment horizontal="center" vertical="top" wrapText="1"/>
    </xf>
    <xf numFmtId="0" fontId="5" fillId="5" borderId="37" xfId="0" applyFont="1" applyFill="1" applyBorder="1" applyAlignment="1">
      <alignment horizontal="center" vertical="top" wrapText="1"/>
    </xf>
    <xf numFmtId="0" fontId="0" fillId="22" borderId="10" xfId="0" applyFill="1" applyBorder="1" applyAlignment="1">
      <alignment horizontal="center" vertical="center" wrapText="1"/>
    </xf>
    <xf numFmtId="0" fontId="0" fillId="22" borderId="14" xfId="0" applyFill="1" applyBorder="1" applyAlignment="1">
      <alignment horizontal="center" vertical="center" wrapText="1"/>
    </xf>
    <xf numFmtId="0" fontId="0" fillId="22" borderId="8" xfId="0" applyFill="1" applyBorder="1" applyAlignment="1">
      <alignment horizontal="center" vertical="center" wrapText="1"/>
    </xf>
    <xf numFmtId="0" fontId="0" fillId="22" borderId="15" xfId="0" applyFill="1" applyBorder="1" applyAlignment="1">
      <alignment horizontal="center" vertical="center" wrapText="1"/>
    </xf>
    <xf numFmtId="0" fontId="0" fillId="22" borderId="35" xfId="0" applyFill="1" applyBorder="1" applyAlignment="1">
      <alignment horizontal="center" vertical="center" wrapText="1"/>
    </xf>
    <xf numFmtId="0" fontId="0" fillId="22" borderId="37" xfId="0" applyFill="1" applyBorder="1" applyAlignment="1">
      <alignment horizontal="center" vertical="center" wrapText="1"/>
    </xf>
    <xf numFmtId="168" fontId="7" fillId="8" borderId="42" xfId="0" applyNumberFormat="1" applyFont="1" applyFill="1" applyBorder="1" applyAlignment="1">
      <alignment horizontal="center" vertical="center"/>
    </xf>
    <xf numFmtId="168" fontId="7" fillId="8" borderId="104" xfId="0" applyNumberFormat="1" applyFont="1" applyFill="1" applyBorder="1" applyAlignment="1">
      <alignment horizontal="center" vertical="center"/>
    </xf>
    <xf numFmtId="2" fontId="7" fillId="8" borderId="3" xfId="0" applyNumberFormat="1" applyFont="1" applyFill="1" applyBorder="1" applyAlignment="1">
      <alignment horizontal="center" vertical="center"/>
    </xf>
    <xf numFmtId="2" fontId="7" fillId="8" borderId="4" xfId="0" applyNumberFormat="1" applyFont="1" applyFill="1" applyBorder="1" applyAlignment="1">
      <alignment horizontal="center" vertical="center"/>
    </xf>
    <xf numFmtId="2" fontId="7" fillId="8" borderId="96" xfId="0" applyNumberFormat="1" applyFont="1" applyFill="1" applyBorder="1" applyAlignment="1">
      <alignment horizontal="center" vertical="center"/>
    </xf>
    <xf numFmtId="2" fontId="7" fillId="8" borderId="99" xfId="0" applyNumberFormat="1" applyFont="1" applyFill="1" applyBorder="1" applyAlignment="1">
      <alignment horizontal="center" vertical="center"/>
    </xf>
    <xf numFmtId="2" fontId="7" fillId="8" borderId="107" xfId="0" applyNumberFormat="1" applyFont="1" applyFill="1" applyBorder="1" applyAlignment="1">
      <alignment horizontal="center" vertical="center"/>
    </xf>
    <xf numFmtId="2" fontId="7" fillId="8" borderId="10" xfId="0" applyNumberFormat="1" applyFont="1" applyFill="1" applyBorder="1" applyAlignment="1">
      <alignment horizontal="center" vertical="center" wrapText="1"/>
    </xf>
    <xf numFmtId="2" fontId="7" fillId="8" borderId="14" xfId="0" applyNumberFormat="1" applyFont="1" applyFill="1" applyBorder="1" applyAlignment="1">
      <alignment horizontal="center" vertical="center" wrapText="1"/>
    </xf>
    <xf numFmtId="2" fontId="7" fillId="8" borderId="8" xfId="0" applyNumberFormat="1" applyFont="1" applyFill="1" applyBorder="1" applyAlignment="1">
      <alignment horizontal="center" vertical="center" wrapText="1"/>
    </xf>
    <xf numFmtId="2" fontId="7" fillId="8" borderId="15" xfId="0" applyNumberFormat="1" applyFont="1" applyFill="1" applyBorder="1" applyAlignment="1">
      <alignment horizontal="center" vertical="center" wrapText="1"/>
    </xf>
    <xf numFmtId="0" fontId="7" fillId="8" borderId="42" xfId="0" applyFont="1" applyFill="1" applyBorder="1" applyAlignment="1">
      <alignment horizontal="center" vertical="center"/>
    </xf>
    <xf numFmtId="0" fontId="7" fillId="8" borderId="104" xfId="0" applyFont="1" applyFill="1" applyBorder="1" applyAlignment="1">
      <alignment horizontal="center" vertical="center"/>
    </xf>
    <xf numFmtId="168" fontId="9" fillId="24" borderId="42" xfId="0" applyNumberFormat="1" applyFont="1" applyFill="1" applyBorder="1" applyAlignment="1">
      <alignment horizontal="center" vertical="center"/>
    </xf>
    <xf numFmtId="168" fontId="9" fillId="24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4" fillId="8" borderId="3" xfId="3" applyFont="1" applyFill="1" applyBorder="1" applyAlignment="1">
      <alignment horizontal="center" vertical="center"/>
    </xf>
    <xf numFmtId="0" fontId="14" fillId="8" borderId="30" xfId="3" applyFont="1" applyFill="1" applyBorder="1" applyAlignment="1">
      <alignment horizontal="center" vertical="center"/>
    </xf>
    <xf numFmtId="0" fontId="14" fillId="8" borderId="4" xfId="3" applyFont="1" applyFill="1" applyBorder="1" applyAlignment="1">
      <alignment horizontal="center" vertical="center"/>
    </xf>
    <xf numFmtId="0" fontId="14" fillId="3" borderId="3" xfId="3" applyFont="1" applyFill="1" applyBorder="1" applyAlignment="1">
      <alignment horizontal="center" vertical="center"/>
    </xf>
    <xf numFmtId="0" fontId="14" fillId="3" borderId="4" xfId="3" applyFont="1" applyFill="1" applyBorder="1" applyAlignment="1">
      <alignment horizontal="center" vertical="center"/>
    </xf>
    <xf numFmtId="2" fontId="24" fillId="28" borderId="46" xfId="2" applyNumberFormat="1" applyFont="1" applyFill="1" applyBorder="1" applyAlignment="1">
      <alignment horizontal="center"/>
    </xf>
    <xf numFmtId="2" fontId="24" fillId="28" borderId="47" xfId="2" applyNumberFormat="1" applyFont="1" applyFill="1" applyBorder="1" applyAlignment="1">
      <alignment horizontal="center"/>
    </xf>
    <xf numFmtId="2" fontId="24" fillId="28" borderId="48" xfId="2" applyNumberFormat="1" applyFont="1" applyFill="1" applyBorder="1" applyAlignment="1">
      <alignment horizontal="center"/>
    </xf>
    <xf numFmtId="0" fontId="25" fillId="0" borderId="49" xfId="2" applyFont="1" applyBorder="1"/>
    <xf numFmtId="0" fontId="25" fillId="0" borderId="47" xfId="2" applyFont="1" applyBorder="1"/>
    <xf numFmtId="0" fontId="25" fillId="0" borderId="50" xfId="2" applyFont="1" applyBorder="1"/>
    <xf numFmtId="2" fontId="24" fillId="0" borderId="40" xfId="2" applyNumberFormat="1" applyFont="1" applyBorder="1" applyAlignment="1">
      <alignment horizontal="center"/>
    </xf>
    <xf numFmtId="2" fontId="24" fillId="0" borderId="34" xfId="2" applyNumberFormat="1" applyFont="1" applyBorder="1" applyAlignment="1">
      <alignment horizontal="center"/>
    </xf>
    <xf numFmtId="2" fontId="24" fillId="0" borderId="6" xfId="2" applyNumberFormat="1" applyFont="1" applyBorder="1" applyAlignment="1">
      <alignment horizontal="center"/>
    </xf>
    <xf numFmtId="0" fontId="17" fillId="0" borderId="5" xfId="2" applyFont="1" applyBorder="1"/>
    <xf numFmtId="0" fontId="17" fillId="0" borderId="34" xfId="2" applyFont="1" applyBorder="1"/>
    <xf numFmtId="0" fontId="17" fillId="0" borderId="43" xfId="2" applyFont="1" applyBorder="1"/>
    <xf numFmtId="2" fontId="21" fillId="0" borderId="46" xfId="2" applyNumberFormat="1" applyFont="1" applyBorder="1" applyAlignment="1">
      <alignment horizontal="center"/>
    </xf>
    <xf numFmtId="2" fontId="21" fillId="0" borderId="47" xfId="2" applyNumberFormat="1" applyFont="1" applyBorder="1" applyAlignment="1">
      <alignment horizontal="center"/>
    </xf>
    <xf numFmtId="2" fontId="21" fillId="0" borderId="48" xfId="2" applyNumberFormat="1" applyFont="1" applyBorder="1" applyAlignment="1">
      <alignment horizontal="center"/>
    </xf>
    <xf numFmtId="0" fontId="23" fillId="0" borderId="49" xfId="2" applyFont="1" applyBorder="1"/>
    <xf numFmtId="0" fontId="23" fillId="0" borderId="47" xfId="2" applyFont="1" applyBorder="1"/>
    <xf numFmtId="0" fontId="23" fillId="0" borderId="50" xfId="2" applyFont="1" applyBorder="1"/>
    <xf numFmtId="2" fontId="24" fillId="0" borderId="39" xfId="2" applyNumberFormat="1" applyFont="1" applyBorder="1" applyAlignment="1" applyProtection="1">
      <alignment horizontal="center"/>
      <protection locked="0"/>
    </xf>
    <xf numFmtId="2" fontId="24" fillId="0" borderId="44" xfId="2" applyNumberFormat="1" applyFont="1" applyBorder="1" applyAlignment="1" applyProtection="1">
      <alignment horizontal="center"/>
      <protection locked="0"/>
    </xf>
    <xf numFmtId="2" fontId="24" fillId="0" borderId="12" xfId="2" applyNumberFormat="1" applyFont="1" applyBorder="1" applyAlignment="1" applyProtection="1">
      <alignment horizontal="center"/>
      <protection locked="0"/>
    </xf>
    <xf numFmtId="0" fontId="25" fillId="0" borderId="11" xfId="2" applyFont="1" applyBorder="1"/>
    <xf numFmtId="0" fontId="25" fillId="0" borderId="44" xfId="2" applyFont="1" applyBorder="1"/>
    <xf numFmtId="0" fontId="25" fillId="0" borderId="45" xfId="2" applyFont="1" applyBorder="1"/>
    <xf numFmtId="2" fontId="7" fillId="29" borderId="3" xfId="2" applyNumberFormat="1" applyFont="1" applyFill="1" applyBorder="1" applyAlignment="1">
      <alignment horizontal="center" vertical="center"/>
    </xf>
    <xf numFmtId="2" fontId="7" fillId="29" borderId="30" xfId="2" applyNumberFormat="1" applyFont="1" applyFill="1" applyBorder="1" applyAlignment="1">
      <alignment horizontal="center" vertical="center"/>
    </xf>
    <xf numFmtId="2" fontId="7" fillId="29" borderId="106" xfId="2" applyNumberFormat="1" applyFont="1" applyFill="1" applyBorder="1" applyAlignment="1">
      <alignment horizontal="center" vertical="center"/>
    </xf>
    <xf numFmtId="0" fontId="7" fillId="14" borderId="103" xfId="2" applyFont="1" applyFill="1" applyBorder="1" applyAlignment="1">
      <alignment vertical="center"/>
    </xf>
    <xf numFmtId="0" fontId="7" fillId="14" borderId="30" xfId="2" applyFont="1" applyFill="1" applyBorder="1" applyAlignment="1">
      <alignment vertical="center"/>
    </xf>
    <xf numFmtId="0" fontId="7" fillId="14" borderId="4" xfId="2" applyFont="1" applyFill="1" applyBorder="1" applyAlignment="1">
      <alignment vertical="center"/>
    </xf>
    <xf numFmtId="0" fontId="17" fillId="0" borderId="0" xfId="2" applyFont="1" applyAlignment="1">
      <alignment horizontal="center"/>
    </xf>
    <xf numFmtId="2" fontId="24" fillId="0" borderId="39" xfId="2" applyNumberFormat="1" applyFont="1" applyBorder="1" applyAlignment="1">
      <alignment horizontal="center"/>
    </xf>
    <xf numFmtId="2" fontId="24" fillId="0" borderId="44" xfId="2" applyNumberFormat="1" applyFont="1" applyBorder="1" applyAlignment="1">
      <alignment horizontal="center"/>
    </xf>
    <xf numFmtId="2" fontId="24" fillId="0" borderId="12" xfId="2" applyNumberFormat="1" applyFont="1" applyBorder="1" applyAlignment="1">
      <alignment horizontal="center"/>
    </xf>
    <xf numFmtId="0" fontId="17" fillId="0" borderId="11" xfId="2" applyFont="1" applyBorder="1"/>
    <xf numFmtId="0" fontId="17" fillId="0" borderId="44" xfId="2" applyFont="1" applyBorder="1"/>
    <xf numFmtId="0" fontId="17" fillId="0" borderId="45" xfId="2" applyFont="1" applyBorder="1"/>
    <xf numFmtId="4" fontId="24" fillId="0" borderId="40" xfId="2" applyNumberFormat="1" applyFont="1" applyBorder="1" applyAlignment="1">
      <alignment horizontal="center"/>
    </xf>
    <xf numFmtId="4" fontId="24" fillId="0" borderId="34" xfId="2" applyNumberFormat="1" applyFont="1" applyBorder="1" applyAlignment="1">
      <alignment horizontal="center"/>
    </xf>
    <xf numFmtId="4" fontId="24" fillId="0" borderId="6" xfId="2" applyNumberFormat="1" applyFont="1" applyBorder="1" applyAlignment="1">
      <alignment horizontal="center"/>
    </xf>
  </cellXfs>
  <cellStyles count="9">
    <cellStyle name="Normal 2" xfId="4" xr:uid="{D3521AAB-EF7B-4CC6-9DCC-F1BEBA825D95}"/>
    <cellStyle name="Normal 2 2" xfId="5" xr:uid="{A9C1ECF1-FFEB-4F71-8B95-5176B7ED86EB}"/>
    <cellStyle name="Normal 3" xfId="7" xr:uid="{4ED1B79A-D9A7-42EE-9CCB-022DEFDCEC3C}"/>
    <cellStyle name="Normal 4" xfId="8" xr:uid="{99091FDA-26C0-468D-A4F3-D0ACC16B4B0E}"/>
    <cellStyle name="Normal_2-9 Tubing spaceout" xfId="2" xr:uid="{00000000-0005-0000-0000-000002000000}"/>
    <cellStyle name="Normal_CSG TALLEY 8-1" xfId="6" xr:uid="{2883034A-35A0-48AF-9668-801D9ACF275B}"/>
    <cellStyle name="Normal_Spaceout calc_drw 7-4" xfId="3" xr:uid="{00000000-0005-0000-0000-000004000000}"/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D3CE8D"/>
      <color rgb="FF66FFCC"/>
      <color rgb="FFD22E5D"/>
      <color rgb="FFB9B1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image001.gif@01D4EFA0.01FC613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cid:image001.gif@01D4EFA0.01FC613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69850</xdr:colOff>
      <xdr:row>0</xdr:row>
      <xdr:rowOff>38100</xdr:rowOff>
    </xdr:from>
    <xdr:to>
      <xdr:col>2</xdr:col>
      <xdr:colOff>196850</xdr:colOff>
      <xdr:row>3</xdr:row>
      <xdr:rowOff>183572</xdr:rowOff>
    </xdr:to>
    <xdr:pic>
      <xdr:nvPicPr>
        <xdr:cNvPr id="2" name="Picture 17">
          <a:extLst>
            <a:ext uri="{FF2B5EF4-FFF2-40B4-BE49-F238E27FC236}">
              <a16:creationId xmlns:a16="http://schemas.microsoft.com/office/drawing/2014/main" id="{C2C3DA02-DD0E-4A2D-96DD-B3B17DBA2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" y="38100"/>
          <a:ext cx="1174750" cy="7677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609600</xdr:colOff>
      <xdr:row>345</xdr:row>
      <xdr:rowOff>63500</xdr:rowOff>
    </xdr:from>
    <xdr:to>
      <xdr:col>11</xdr:col>
      <xdr:colOff>133350</xdr:colOff>
      <xdr:row>347</xdr:row>
      <xdr:rowOff>95250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A51AAE57-8826-45B9-86F1-4A8FD55A17FA}"/>
            </a:ext>
          </a:extLst>
        </xdr:cNvPr>
        <xdr:cNvCxnSpPr/>
      </xdr:nvCxnSpPr>
      <xdr:spPr>
        <a:xfrm>
          <a:off x="5429250" y="56000650"/>
          <a:ext cx="2051050" cy="361950"/>
        </a:xfrm>
        <a:prstGeom prst="straightConnector1">
          <a:avLst/>
        </a:prstGeom>
        <a:ln w="28575">
          <a:solidFill>
            <a:srgbClr val="00B0F0"/>
          </a:solidFill>
          <a:prstDash val="sysDot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69850</xdr:colOff>
      <xdr:row>0</xdr:row>
      <xdr:rowOff>38100</xdr:rowOff>
    </xdr:from>
    <xdr:to>
      <xdr:col>2</xdr:col>
      <xdr:colOff>196850</xdr:colOff>
      <xdr:row>3</xdr:row>
      <xdr:rowOff>151822</xdr:rowOff>
    </xdr:to>
    <xdr:pic>
      <xdr:nvPicPr>
        <xdr:cNvPr id="8" name="Picture 17">
          <a:extLst>
            <a:ext uri="{FF2B5EF4-FFF2-40B4-BE49-F238E27FC236}">
              <a16:creationId xmlns:a16="http://schemas.microsoft.com/office/drawing/2014/main" id="{D0E96F3B-672E-491A-97EA-560EF88E8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" y="38100"/>
          <a:ext cx="1174750" cy="736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312295</xdr:colOff>
      <xdr:row>0</xdr:row>
      <xdr:rowOff>109107</xdr:rowOff>
    </xdr:from>
    <xdr:to>
      <xdr:col>4</xdr:col>
      <xdr:colOff>496445</xdr:colOff>
      <xdr:row>3</xdr:row>
      <xdr:rowOff>51788</xdr:rowOff>
    </xdr:to>
    <xdr:pic>
      <xdr:nvPicPr>
        <xdr:cNvPr id="9" name="Picture 155">
          <a:extLst>
            <a:ext uri="{FF2B5EF4-FFF2-40B4-BE49-F238E27FC236}">
              <a16:creationId xmlns:a16="http://schemas.microsoft.com/office/drawing/2014/main" id="{9A0D1FCE-9E5C-4C08-A84E-8153B337F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045" y="109107"/>
          <a:ext cx="1390650" cy="5649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69850</xdr:colOff>
      <xdr:row>0</xdr:row>
      <xdr:rowOff>38100</xdr:rowOff>
    </xdr:from>
    <xdr:to>
      <xdr:col>2</xdr:col>
      <xdr:colOff>196850</xdr:colOff>
      <xdr:row>3</xdr:row>
      <xdr:rowOff>183572</xdr:rowOff>
    </xdr:to>
    <xdr:pic>
      <xdr:nvPicPr>
        <xdr:cNvPr id="2" name="Picture 17">
          <a:extLst>
            <a:ext uri="{FF2B5EF4-FFF2-40B4-BE49-F238E27FC236}">
              <a16:creationId xmlns:a16="http://schemas.microsoft.com/office/drawing/2014/main" id="{33B42B03-8053-41CD-BE41-97A5950AE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" y="38100"/>
          <a:ext cx="1174750" cy="76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539750</xdr:colOff>
      <xdr:row>378</xdr:row>
      <xdr:rowOff>120650</xdr:rowOff>
    </xdr:from>
    <xdr:to>
      <xdr:col>10</xdr:col>
      <xdr:colOff>317500</xdr:colOff>
      <xdr:row>386</xdr:row>
      <xdr:rowOff>69850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C0EEEBAB-DD9E-42DB-B3B1-FEAF9B768A95}"/>
            </a:ext>
          </a:extLst>
        </xdr:cNvPr>
        <xdr:cNvCxnSpPr/>
      </xdr:nvCxnSpPr>
      <xdr:spPr>
        <a:xfrm flipV="1">
          <a:off x="2197100" y="58966100"/>
          <a:ext cx="4584700" cy="1282700"/>
        </a:xfrm>
        <a:prstGeom prst="straightConnector1">
          <a:avLst/>
        </a:prstGeom>
        <a:ln w="28575">
          <a:solidFill>
            <a:srgbClr val="00B0F0"/>
          </a:solidFill>
          <a:prstDash val="sysDot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584200</xdr:colOff>
      <xdr:row>385</xdr:row>
      <xdr:rowOff>82550</xdr:rowOff>
    </xdr:from>
    <xdr:to>
      <xdr:col>11</xdr:col>
      <xdr:colOff>196850</xdr:colOff>
      <xdr:row>388</xdr:row>
      <xdr:rowOff>101600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544D900-9331-4581-BA4C-7FCE813A882A}"/>
            </a:ext>
          </a:extLst>
        </xdr:cNvPr>
        <xdr:cNvCxnSpPr/>
      </xdr:nvCxnSpPr>
      <xdr:spPr>
        <a:xfrm>
          <a:off x="5403850" y="59950350"/>
          <a:ext cx="2139950" cy="514350"/>
        </a:xfrm>
        <a:prstGeom prst="straightConnector1">
          <a:avLst/>
        </a:prstGeom>
        <a:ln w="28575">
          <a:solidFill>
            <a:srgbClr val="7030A0"/>
          </a:solidFill>
          <a:prstDash val="sysDot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438150</xdr:colOff>
      <xdr:row>376</xdr:row>
      <xdr:rowOff>80819</xdr:rowOff>
    </xdr:from>
    <xdr:to>
      <xdr:col>10</xdr:col>
      <xdr:colOff>155863</xdr:colOff>
      <xdr:row>382</xdr:row>
      <xdr:rowOff>69850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28AD9F41-745F-492D-9077-F6158CEC38EA}"/>
            </a:ext>
          </a:extLst>
        </xdr:cNvPr>
        <xdr:cNvCxnSpPr/>
      </xdr:nvCxnSpPr>
      <xdr:spPr>
        <a:xfrm flipV="1">
          <a:off x="2095500" y="60958269"/>
          <a:ext cx="4524663" cy="1005031"/>
        </a:xfrm>
        <a:prstGeom prst="straightConnector1">
          <a:avLst/>
        </a:prstGeom>
        <a:ln w="28575">
          <a:solidFill>
            <a:srgbClr val="FFC000"/>
          </a:solidFill>
          <a:prstDash val="sysDot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609600</xdr:colOff>
      <xdr:row>342</xdr:row>
      <xdr:rowOff>95250</xdr:rowOff>
    </xdr:from>
    <xdr:to>
      <xdr:col>11</xdr:col>
      <xdr:colOff>82550</xdr:colOff>
      <xdr:row>345</xdr:row>
      <xdr:rowOff>63500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7749E7C3-43DF-4299-8F1C-B924B4D275C3}"/>
            </a:ext>
          </a:extLst>
        </xdr:cNvPr>
        <xdr:cNvCxnSpPr/>
      </xdr:nvCxnSpPr>
      <xdr:spPr>
        <a:xfrm flipV="1">
          <a:off x="5429250" y="53149500"/>
          <a:ext cx="2000250" cy="463550"/>
        </a:xfrm>
        <a:prstGeom prst="straightConnector1">
          <a:avLst/>
        </a:prstGeom>
        <a:ln w="28575">
          <a:solidFill>
            <a:srgbClr val="00B0F0"/>
          </a:solidFill>
          <a:prstDash val="sysDot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611910</xdr:colOff>
      <xdr:row>384</xdr:row>
      <xdr:rowOff>150091</xdr:rowOff>
    </xdr:from>
    <xdr:to>
      <xdr:col>11</xdr:col>
      <xdr:colOff>46182</xdr:colOff>
      <xdr:row>385</xdr:row>
      <xdr:rowOff>98137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A31A991A-81AB-4C49-BEB3-1F7EA34F8F32}"/>
            </a:ext>
          </a:extLst>
        </xdr:cNvPr>
        <xdr:cNvCxnSpPr/>
      </xdr:nvCxnSpPr>
      <xdr:spPr>
        <a:xfrm flipV="1">
          <a:off x="4750955" y="63373000"/>
          <a:ext cx="2643909" cy="115455"/>
        </a:xfrm>
        <a:prstGeom prst="straightConnector1">
          <a:avLst/>
        </a:prstGeom>
        <a:ln w="28575">
          <a:solidFill>
            <a:srgbClr val="D22E5D"/>
          </a:solidFill>
          <a:prstDash val="sysDot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69850</xdr:colOff>
      <xdr:row>0</xdr:row>
      <xdr:rowOff>38100</xdr:rowOff>
    </xdr:from>
    <xdr:to>
      <xdr:col>2</xdr:col>
      <xdr:colOff>196850</xdr:colOff>
      <xdr:row>3</xdr:row>
      <xdr:rowOff>151822</xdr:rowOff>
    </xdr:to>
    <xdr:pic>
      <xdr:nvPicPr>
        <xdr:cNvPr id="9" name="Picture 17">
          <a:extLst>
            <a:ext uri="{FF2B5EF4-FFF2-40B4-BE49-F238E27FC236}">
              <a16:creationId xmlns:a16="http://schemas.microsoft.com/office/drawing/2014/main" id="{47926D5F-6335-4639-B17B-207AE22BC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" y="38100"/>
          <a:ext cx="1174750" cy="76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312295</xdr:colOff>
      <xdr:row>0</xdr:row>
      <xdr:rowOff>109107</xdr:rowOff>
    </xdr:from>
    <xdr:to>
      <xdr:col>4</xdr:col>
      <xdr:colOff>496445</xdr:colOff>
      <xdr:row>3</xdr:row>
      <xdr:rowOff>51788</xdr:rowOff>
    </xdr:to>
    <xdr:pic>
      <xdr:nvPicPr>
        <xdr:cNvPr id="10" name="Picture 155">
          <a:extLst>
            <a:ext uri="{FF2B5EF4-FFF2-40B4-BE49-F238E27FC236}">
              <a16:creationId xmlns:a16="http://schemas.microsoft.com/office/drawing/2014/main" id="{91AF2D17-7DFE-41CE-B348-DD78B13C4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159" y="109107"/>
          <a:ext cx="1390650" cy="5719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357</xdr:row>
      <xdr:rowOff>11043</xdr:rowOff>
    </xdr:from>
    <xdr:to>
      <xdr:col>3</xdr:col>
      <xdr:colOff>397566</xdr:colOff>
      <xdr:row>372</xdr:row>
      <xdr:rowOff>149087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7B14307-AA3A-70EA-D7C9-91AEF39D6D75}"/>
            </a:ext>
          </a:extLst>
        </xdr:cNvPr>
        <xdr:cNvCxnSpPr/>
      </xdr:nvCxnSpPr>
      <xdr:spPr>
        <a:xfrm flipH="1" flipV="1">
          <a:off x="1916043" y="57332217"/>
          <a:ext cx="16566" cy="2540000"/>
        </a:xfrm>
        <a:prstGeom prst="straightConnector1">
          <a:avLst/>
        </a:prstGeom>
        <a:ln>
          <a:solidFill>
            <a:schemeClr val="accent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77307</xdr:colOff>
      <xdr:row>366</xdr:row>
      <xdr:rowOff>66260</xdr:rowOff>
    </xdr:from>
    <xdr:to>
      <xdr:col>3</xdr:col>
      <xdr:colOff>839307</xdr:colOff>
      <xdr:row>368</xdr:row>
      <xdr:rowOff>11042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D49195A-4976-304A-E73C-17E90E44B9D5}"/>
            </a:ext>
          </a:extLst>
        </xdr:cNvPr>
        <xdr:cNvSpPr txBox="1"/>
      </xdr:nvSpPr>
      <xdr:spPr>
        <a:xfrm>
          <a:off x="1612350" y="58828608"/>
          <a:ext cx="762000" cy="26504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>
              <a:solidFill>
                <a:srgbClr val="FF0000"/>
              </a:solidFill>
            </a:rPr>
            <a:t>SPARE JTS.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28575</xdr:colOff>
      <xdr:row>19</xdr:row>
      <xdr:rowOff>67897</xdr:rowOff>
    </xdr:from>
    <xdr:to>
      <xdr:col>18</xdr:col>
      <xdr:colOff>45704</xdr:colOff>
      <xdr:row>21</xdr:row>
      <xdr:rowOff>60948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9255F245-3CDA-4805-AE59-72B32E0EAD49}"/>
            </a:ext>
          </a:extLst>
        </xdr:cNvPr>
        <xdr:cNvSpPr txBox="1">
          <a:spLocks noChangeArrowheads="1"/>
        </xdr:cNvSpPr>
      </xdr:nvSpPr>
      <xdr:spPr bwMode="auto">
        <a:xfrm>
          <a:off x="3660775" y="3693747"/>
          <a:ext cx="1229979" cy="396119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lnSpc>
              <a:spcPts val="900"/>
            </a:lnSpc>
            <a:spcBef>
              <a:spcPts val="600"/>
            </a:spcBef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Position Locator NoGo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 ft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above PBR top</a:t>
          </a:r>
        </a:p>
      </xdr:txBody>
    </xdr:sp>
    <xdr:clientData/>
  </xdr:twoCellAnchor>
  <xdr:twoCellAnchor>
    <xdr:from>
      <xdr:col>12</xdr:col>
      <xdr:colOff>12700</xdr:colOff>
      <xdr:row>20</xdr:row>
      <xdr:rowOff>82550</xdr:rowOff>
    </xdr:from>
    <xdr:to>
      <xdr:col>15</xdr:col>
      <xdr:colOff>31750</xdr:colOff>
      <xdr:row>21</xdr:row>
      <xdr:rowOff>190500</xdr:rowOff>
    </xdr:to>
    <xdr:sp macro="" textlink="">
      <xdr:nvSpPr>
        <xdr:cNvPr id="9550" name="Line 2">
          <a:extLst>
            <a:ext uri="{FF2B5EF4-FFF2-40B4-BE49-F238E27FC236}">
              <a16:creationId xmlns:a16="http://schemas.microsoft.com/office/drawing/2014/main" id="{065129D0-2A33-4E3F-B2F9-3A514F8C92CB}"/>
            </a:ext>
          </a:extLst>
        </xdr:cNvPr>
        <xdr:cNvSpPr>
          <a:spLocks noChangeShapeType="1"/>
        </xdr:cNvSpPr>
      </xdr:nvSpPr>
      <xdr:spPr bwMode="auto">
        <a:xfrm flipH="1">
          <a:off x="3213100" y="3911600"/>
          <a:ext cx="450850" cy="317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12700</xdr:colOff>
      <xdr:row>44</xdr:row>
      <xdr:rowOff>76200</xdr:rowOff>
    </xdr:from>
    <xdr:to>
      <xdr:col>17</xdr:col>
      <xdr:colOff>374650</xdr:colOff>
      <xdr:row>44</xdr:row>
      <xdr:rowOff>76200</xdr:rowOff>
    </xdr:to>
    <xdr:sp macro="" textlink="">
      <xdr:nvSpPr>
        <xdr:cNvPr id="9551" name="Line 3">
          <a:extLst>
            <a:ext uri="{FF2B5EF4-FFF2-40B4-BE49-F238E27FC236}">
              <a16:creationId xmlns:a16="http://schemas.microsoft.com/office/drawing/2014/main" id="{7AF7B264-AFBA-45B3-9A7B-632C6D240163}"/>
            </a:ext>
          </a:extLst>
        </xdr:cNvPr>
        <xdr:cNvSpPr>
          <a:spLocks noChangeShapeType="1"/>
        </xdr:cNvSpPr>
      </xdr:nvSpPr>
      <xdr:spPr bwMode="auto">
        <a:xfrm flipV="1">
          <a:off x="4476750" y="837565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450850</xdr:colOff>
      <xdr:row>45</xdr:row>
      <xdr:rowOff>101600</xdr:rowOff>
    </xdr:from>
    <xdr:to>
      <xdr:col>17</xdr:col>
      <xdr:colOff>349250</xdr:colOff>
      <xdr:row>48</xdr:row>
      <xdr:rowOff>57150</xdr:rowOff>
    </xdr:to>
    <xdr:sp macro="" textlink="">
      <xdr:nvSpPr>
        <xdr:cNvPr id="9552" name="Line 4">
          <a:extLst>
            <a:ext uri="{FF2B5EF4-FFF2-40B4-BE49-F238E27FC236}">
              <a16:creationId xmlns:a16="http://schemas.microsoft.com/office/drawing/2014/main" id="{2C3C906F-5745-4481-85B5-3BAA3569FBC6}"/>
            </a:ext>
          </a:extLst>
        </xdr:cNvPr>
        <xdr:cNvSpPr>
          <a:spLocks noChangeShapeType="1"/>
        </xdr:cNvSpPr>
      </xdr:nvSpPr>
      <xdr:spPr bwMode="auto">
        <a:xfrm flipV="1">
          <a:off x="4464050" y="8559800"/>
          <a:ext cx="349250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482600</xdr:colOff>
      <xdr:row>48</xdr:row>
      <xdr:rowOff>95250</xdr:rowOff>
    </xdr:from>
    <xdr:to>
      <xdr:col>31</xdr:col>
      <xdr:colOff>387350</xdr:colOff>
      <xdr:row>48</xdr:row>
      <xdr:rowOff>95250</xdr:rowOff>
    </xdr:to>
    <xdr:sp macro="" textlink="">
      <xdr:nvSpPr>
        <xdr:cNvPr id="9553" name="Line 6">
          <a:extLst>
            <a:ext uri="{FF2B5EF4-FFF2-40B4-BE49-F238E27FC236}">
              <a16:creationId xmlns:a16="http://schemas.microsoft.com/office/drawing/2014/main" id="{6A3D98E4-1DFE-488E-96B5-535BC8E76536}"/>
            </a:ext>
          </a:extLst>
        </xdr:cNvPr>
        <xdr:cNvSpPr>
          <a:spLocks noChangeShapeType="1"/>
        </xdr:cNvSpPr>
      </xdr:nvSpPr>
      <xdr:spPr bwMode="auto">
        <a:xfrm flipH="1" flipV="1">
          <a:off x="7486650" y="9036050"/>
          <a:ext cx="495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374650</xdr:colOff>
      <xdr:row>37</xdr:row>
      <xdr:rowOff>19050</xdr:rowOff>
    </xdr:from>
    <xdr:to>
      <xdr:col>31</xdr:col>
      <xdr:colOff>374650</xdr:colOff>
      <xdr:row>48</xdr:row>
      <xdr:rowOff>95250</xdr:rowOff>
    </xdr:to>
    <xdr:sp macro="" textlink="">
      <xdr:nvSpPr>
        <xdr:cNvPr id="9554" name="Line 7">
          <a:extLst>
            <a:ext uri="{FF2B5EF4-FFF2-40B4-BE49-F238E27FC236}">
              <a16:creationId xmlns:a16="http://schemas.microsoft.com/office/drawing/2014/main" id="{F8CF1BA4-EB8D-4791-BC65-0CFE787E8758}"/>
            </a:ext>
          </a:extLst>
        </xdr:cNvPr>
        <xdr:cNvSpPr>
          <a:spLocks noChangeShapeType="1"/>
        </xdr:cNvSpPr>
      </xdr:nvSpPr>
      <xdr:spPr bwMode="auto">
        <a:xfrm>
          <a:off x="7969250" y="7156450"/>
          <a:ext cx="0" cy="187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74612</xdr:colOff>
      <xdr:row>25</xdr:row>
      <xdr:rowOff>109904</xdr:rowOff>
    </xdr:from>
    <xdr:to>
      <xdr:col>17</xdr:col>
      <xdr:colOff>342519</xdr:colOff>
      <xdr:row>27</xdr:row>
      <xdr:rowOff>80596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F9D68140-2F3A-44F7-A9BA-340930EE55E5}"/>
            </a:ext>
          </a:extLst>
        </xdr:cNvPr>
        <xdr:cNvSpPr txBox="1">
          <a:spLocks noChangeArrowheads="1"/>
        </xdr:cNvSpPr>
      </xdr:nvSpPr>
      <xdr:spPr bwMode="auto">
        <a:xfrm>
          <a:off x="3589337" y="4974004"/>
          <a:ext cx="1233151" cy="364392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lnSpc>
              <a:spcPts val="9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Position EOT +/-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2.3 ft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above Liner Packer</a:t>
          </a:r>
        </a:p>
      </xdr:txBody>
    </xdr:sp>
    <xdr:clientData/>
  </xdr:twoCellAnchor>
  <xdr:twoCellAnchor>
    <xdr:from>
      <xdr:col>10</xdr:col>
      <xdr:colOff>19050</xdr:colOff>
      <xdr:row>26</xdr:row>
      <xdr:rowOff>101600</xdr:rowOff>
    </xdr:from>
    <xdr:to>
      <xdr:col>14</xdr:col>
      <xdr:colOff>88900</xdr:colOff>
      <xdr:row>27</xdr:row>
      <xdr:rowOff>196850</xdr:rowOff>
    </xdr:to>
    <xdr:sp macro="" textlink="">
      <xdr:nvSpPr>
        <xdr:cNvPr id="9556" name="Line 2">
          <a:extLst>
            <a:ext uri="{FF2B5EF4-FFF2-40B4-BE49-F238E27FC236}">
              <a16:creationId xmlns:a16="http://schemas.microsoft.com/office/drawing/2014/main" id="{0721F02C-356A-435A-B473-1B2F789BD400}"/>
            </a:ext>
          </a:extLst>
        </xdr:cNvPr>
        <xdr:cNvSpPr>
          <a:spLocks noChangeShapeType="1"/>
        </xdr:cNvSpPr>
      </xdr:nvSpPr>
      <xdr:spPr bwMode="auto">
        <a:xfrm flipH="1">
          <a:off x="3143250" y="5162550"/>
          <a:ext cx="450850" cy="292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98428</xdr:colOff>
      <xdr:row>15</xdr:row>
      <xdr:rowOff>41269</xdr:rowOff>
    </xdr:from>
    <xdr:to>
      <xdr:col>18</xdr:col>
      <xdr:colOff>1293</xdr:colOff>
      <xdr:row>17</xdr:row>
      <xdr:rowOff>19425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F03D212B-7332-4FEA-ACE0-538803F00594}"/>
            </a:ext>
          </a:extLst>
        </xdr:cNvPr>
        <xdr:cNvSpPr txBox="1">
          <a:spLocks noChangeArrowheads="1"/>
        </xdr:cNvSpPr>
      </xdr:nvSpPr>
      <xdr:spPr bwMode="auto">
        <a:xfrm>
          <a:off x="3613153" y="2822569"/>
          <a:ext cx="1233151" cy="397256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lnSpc>
              <a:spcPts val="9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Prod Pkr Element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NOT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across any csg collar</a:t>
          </a:r>
        </a:p>
      </xdr:txBody>
    </xdr:sp>
    <xdr:clientData/>
  </xdr:twoCellAnchor>
  <xdr:twoCellAnchor>
    <xdr:from>
      <xdr:col>13</xdr:col>
      <xdr:colOff>19050</xdr:colOff>
      <xdr:row>16</xdr:row>
      <xdr:rowOff>101600</xdr:rowOff>
    </xdr:from>
    <xdr:to>
      <xdr:col>14</xdr:col>
      <xdr:colOff>127000</xdr:colOff>
      <xdr:row>17</xdr:row>
      <xdr:rowOff>0</xdr:rowOff>
    </xdr:to>
    <xdr:sp macro="" textlink="">
      <xdr:nvSpPr>
        <xdr:cNvPr id="9558" name="Line 2">
          <a:extLst>
            <a:ext uri="{FF2B5EF4-FFF2-40B4-BE49-F238E27FC236}">
              <a16:creationId xmlns:a16="http://schemas.microsoft.com/office/drawing/2014/main" id="{04F41945-6CE4-4F5B-83B6-AC1CE1AFDA3D}"/>
            </a:ext>
          </a:extLst>
        </xdr:cNvPr>
        <xdr:cNvSpPr>
          <a:spLocks noChangeShapeType="1"/>
        </xdr:cNvSpPr>
      </xdr:nvSpPr>
      <xdr:spPr bwMode="auto">
        <a:xfrm flipH="1">
          <a:off x="3371850" y="3092450"/>
          <a:ext cx="26035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/>
  </sheetViews>
  <sheetFormatPr defaultRowHeight="12.75"/>
  <sheetData/>
  <phoneticPr fontId="12" type="noConversion"/>
  <pageMargins left="0.75" right="0.75" top="1" bottom="1" header="0.5" footer="0.5"/>
  <pageSetup orientation="portrait" r:id="rId1"/>
  <headerFooter alignWithMargins="0">
    <oddHeader>&amp;A&amp;L&amp;"Calibri"&amp;9&amp;K000000Classification: Internal&amp;1#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671BE-60E0-4A40-B708-A86300D86F13}">
  <sheetPr>
    <tabColor rgb="FFD22E5D"/>
  </sheetPr>
  <dimension ref="A1:O866"/>
  <sheetViews>
    <sheetView showGridLines="0" defaultGridColor="0" colorId="10" zoomScaleNormal="100" zoomScaleSheetLayoutView="100" workbookViewId="0">
      <selection activeCell="N9" sqref="N9"/>
    </sheetView>
  </sheetViews>
  <sheetFormatPr defaultColWidth="11.42578125" defaultRowHeight="12.75"/>
  <cols>
    <col min="1" max="1" width="9.28515625" style="1" customWidth="1"/>
    <col min="2" max="2" width="5.7109375" style="205" customWidth="1"/>
    <col min="3" max="3" width="8.7109375" style="6" customWidth="1"/>
    <col min="4" max="4" width="8.5703125" style="6" customWidth="1"/>
    <col min="5" max="5" width="8.140625" style="2" customWidth="1"/>
    <col min="6" max="6" width="10.85546875" style="2" customWidth="1"/>
    <col min="7" max="7" width="8" style="2" customWidth="1"/>
    <col min="8" max="8" width="9.7109375" style="2" customWidth="1"/>
    <col min="9" max="9" width="10" style="2" customWidth="1"/>
    <col min="10" max="10" width="13.5703125" style="4" customWidth="1"/>
    <col min="11" max="11" width="12.5703125" style="9" customWidth="1"/>
    <col min="12" max="12" width="12" customWidth="1"/>
  </cols>
  <sheetData>
    <row r="1" spans="1:15" ht="18.75" thickBot="1">
      <c r="A1" s="18"/>
      <c r="B1" s="135"/>
      <c r="C1" s="136"/>
      <c r="D1" s="137"/>
      <c r="E1" s="138"/>
      <c r="F1" s="139"/>
      <c r="G1" s="138"/>
      <c r="H1" s="140" t="s">
        <v>13</v>
      </c>
      <c r="I1" s="141"/>
      <c r="J1" s="142"/>
      <c r="K1" s="406" t="s">
        <v>179</v>
      </c>
      <c r="L1" s="407"/>
    </row>
    <row r="2" spans="1:15" ht="15" customHeight="1">
      <c r="A2" s="134"/>
      <c r="B2" s="155"/>
      <c r="C2" s="12"/>
      <c r="D2" s="12"/>
      <c r="E2" s="3"/>
      <c r="F2" s="16"/>
      <c r="G2" s="3"/>
      <c r="H2" s="13" t="s">
        <v>92</v>
      </c>
      <c r="I2" s="7"/>
      <c r="J2" s="242" t="s">
        <v>12</v>
      </c>
      <c r="K2" s="408">
        <v>43658</v>
      </c>
      <c r="L2" s="409"/>
    </row>
    <row r="3" spans="1:15" ht="15.6" customHeight="1">
      <c r="A3" s="143"/>
      <c r="B3" s="15"/>
      <c r="C3" s="5"/>
      <c r="D3" s="8"/>
      <c r="E3" s="3"/>
      <c r="I3" s="410" t="s">
        <v>97</v>
      </c>
      <c r="J3" s="410"/>
      <c r="K3" s="411" t="s">
        <v>144</v>
      </c>
      <c r="L3" s="412"/>
    </row>
    <row r="4" spans="1:15" ht="15.6" customHeight="1" thickBot="1">
      <c r="A4" s="144"/>
      <c r="B4" s="155"/>
      <c r="C4" s="5"/>
      <c r="D4" s="8"/>
      <c r="E4" s="3"/>
      <c r="I4" s="410" t="s">
        <v>98</v>
      </c>
      <c r="J4" s="410"/>
      <c r="K4" s="411" t="s">
        <v>85</v>
      </c>
      <c r="L4" s="412"/>
    </row>
    <row r="5" spans="1:15" ht="15.6" customHeight="1" thickBot="1">
      <c r="A5" s="419" t="s">
        <v>68</v>
      </c>
      <c r="B5" s="420"/>
      <c r="C5" s="421" t="s">
        <v>70</v>
      </c>
      <c r="D5" s="422"/>
      <c r="E5" s="3"/>
      <c r="F5" s="263" t="s">
        <v>0</v>
      </c>
      <c r="G5" s="423" t="s">
        <v>126</v>
      </c>
      <c r="H5" s="424"/>
      <c r="I5" s="7"/>
      <c r="J5" s="242" t="s">
        <v>82</v>
      </c>
      <c r="K5" s="285">
        <v>11820.84</v>
      </c>
      <c r="L5" s="133"/>
    </row>
    <row r="6" spans="1:15" ht="15.6" customHeight="1" thickBot="1">
      <c r="A6" s="415" t="s">
        <v>103</v>
      </c>
      <c r="B6" s="416"/>
      <c r="C6" s="425">
        <v>6.2759999999999998</v>
      </c>
      <c r="D6" s="426"/>
      <c r="E6" s="3"/>
      <c r="F6" s="264" t="s">
        <v>1</v>
      </c>
      <c r="G6" s="427" t="s">
        <v>127</v>
      </c>
      <c r="H6" s="428"/>
      <c r="I6" s="7"/>
      <c r="J6" s="242" t="s">
        <v>81</v>
      </c>
      <c r="K6" s="286">
        <f>K5-H13</f>
        <v>11819.18</v>
      </c>
      <c r="L6" s="133"/>
    </row>
    <row r="7" spans="1:15" ht="15.6" customHeight="1" thickBot="1">
      <c r="A7" s="415" t="s">
        <v>102</v>
      </c>
      <c r="B7" s="416"/>
      <c r="C7" s="425">
        <v>6.1509999999999998</v>
      </c>
      <c r="D7" s="426"/>
      <c r="E7" s="3"/>
      <c r="F7" s="264" t="s">
        <v>2</v>
      </c>
      <c r="G7" s="291">
        <v>127</v>
      </c>
      <c r="H7" s="261"/>
      <c r="I7" s="8"/>
      <c r="J7" s="242" t="s">
        <v>96</v>
      </c>
      <c r="K7" s="287">
        <v>21399</v>
      </c>
      <c r="L7" s="133"/>
      <c r="M7" s="147"/>
    </row>
    <row r="8" spans="1:15" ht="15.6" customHeight="1" thickBot="1">
      <c r="A8" s="415" t="s">
        <v>3</v>
      </c>
      <c r="B8" s="416"/>
      <c r="C8" s="441">
        <v>26</v>
      </c>
      <c r="D8" s="442"/>
      <c r="E8" s="3"/>
      <c r="F8" s="264" t="s">
        <v>4</v>
      </c>
      <c r="G8" s="413">
        <v>10.8</v>
      </c>
      <c r="H8" s="414"/>
      <c r="I8" s="7"/>
      <c r="J8" s="242" t="s">
        <v>95</v>
      </c>
      <c r="K8" s="288">
        <v>21392</v>
      </c>
      <c r="L8" s="133"/>
      <c r="M8" s="147"/>
    </row>
    <row r="9" spans="1:15" ht="15.6" customHeight="1" thickBot="1">
      <c r="A9" s="415" t="s">
        <v>5</v>
      </c>
      <c r="B9" s="416"/>
      <c r="C9" s="417" t="s">
        <v>69</v>
      </c>
      <c r="D9" s="418"/>
      <c r="E9" s="3"/>
      <c r="F9" s="264" t="s">
        <v>138</v>
      </c>
      <c r="G9" s="292" t="s">
        <v>137</v>
      </c>
      <c r="H9" s="293"/>
      <c r="I9" s="7"/>
      <c r="J9" s="242" t="s">
        <v>140</v>
      </c>
      <c r="K9" s="289">
        <f>K6+F14</f>
        <v>11838.73</v>
      </c>
      <c r="L9" s="133"/>
    </row>
    <row r="10" spans="1:15" ht="15.6" customHeight="1" thickBot="1">
      <c r="A10" s="429" t="s">
        <v>9</v>
      </c>
      <c r="B10" s="430"/>
      <c r="C10" s="431">
        <f>4.776/12</f>
        <v>0.39799999999999996</v>
      </c>
      <c r="D10" s="432"/>
      <c r="E10" s="387"/>
      <c r="F10" s="265" t="s">
        <v>6</v>
      </c>
      <c r="G10" s="294">
        <f>(65.45-G8)/65.45</f>
        <v>0.83498854087089391</v>
      </c>
      <c r="H10" s="262"/>
      <c r="I10" s="145"/>
      <c r="J10" s="146" t="s">
        <v>139</v>
      </c>
      <c r="K10" s="290">
        <f>I346</f>
        <v>1214.4172500000004</v>
      </c>
      <c r="L10" s="206"/>
    </row>
    <row r="11" spans="1:15">
      <c r="A11" s="433" t="s">
        <v>58</v>
      </c>
      <c r="B11" s="435" t="s">
        <v>59</v>
      </c>
      <c r="C11" s="437" t="s">
        <v>60</v>
      </c>
      <c r="D11" s="439" t="s">
        <v>61</v>
      </c>
      <c r="E11" s="467" t="s">
        <v>62</v>
      </c>
      <c r="F11" s="469" t="s">
        <v>63</v>
      </c>
      <c r="G11" s="469" t="s">
        <v>64</v>
      </c>
      <c r="H11" s="469" t="s">
        <v>65</v>
      </c>
      <c r="I11" s="467" t="s">
        <v>66</v>
      </c>
      <c r="J11" s="470" t="s">
        <v>67</v>
      </c>
      <c r="K11" s="435" t="s">
        <v>57</v>
      </c>
      <c r="L11" s="443"/>
      <c r="M11" s="148"/>
    </row>
    <row r="12" spans="1:15" ht="14.1" customHeight="1" thickBot="1">
      <c r="A12" s="434"/>
      <c r="B12" s="436"/>
      <c r="C12" s="438"/>
      <c r="D12" s="440"/>
      <c r="E12" s="468"/>
      <c r="F12" s="468"/>
      <c r="G12" s="468"/>
      <c r="H12" s="468"/>
      <c r="I12" s="468"/>
      <c r="J12" s="434"/>
      <c r="K12" s="436"/>
      <c r="L12" s="444"/>
      <c r="O12" s="11"/>
    </row>
    <row r="13" spans="1:15" ht="14.1" customHeight="1" thickBot="1">
      <c r="A13" s="445" t="s">
        <v>84</v>
      </c>
      <c r="B13" s="446"/>
      <c r="C13" s="447"/>
      <c r="D13" s="447"/>
      <c r="E13" s="448"/>
      <c r="F13" s="266">
        <v>1.66</v>
      </c>
      <c r="G13" s="266" t="s">
        <v>8</v>
      </c>
      <c r="H13" s="207">
        <f>F13</f>
        <v>1.66</v>
      </c>
      <c r="I13" s="267">
        <f>K6</f>
        <v>11819.18</v>
      </c>
      <c r="J13" s="268"/>
      <c r="K13" s="449"/>
      <c r="L13" s="450"/>
      <c r="O13" s="11"/>
    </row>
    <row r="14" spans="1:15" ht="12.95" customHeight="1">
      <c r="A14" s="451" t="s">
        <v>17</v>
      </c>
      <c r="B14" s="454" t="s">
        <v>128</v>
      </c>
      <c r="C14" s="457" t="s">
        <v>15</v>
      </c>
      <c r="D14" s="458"/>
      <c r="E14" s="171">
        <v>19.55</v>
      </c>
      <c r="F14" s="171">
        <f>E14</f>
        <v>19.55</v>
      </c>
      <c r="G14" s="271" t="s">
        <v>10</v>
      </c>
      <c r="H14" s="171">
        <f>IF(G14="IN",H12+F14,H12)</f>
        <v>0</v>
      </c>
      <c r="I14" s="171">
        <f>IF(H14="","",$K$6-H14)</f>
        <v>11819.18</v>
      </c>
      <c r="J14" s="172">
        <f t="shared" ref="J14:J77" si="0">$G$7+(H14*$C$8*$G$10/1000)</f>
        <v>127</v>
      </c>
      <c r="K14" s="459" t="s">
        <v>130</v>
      </c>
      <c r="L14" s="460"/>
      <c r="M14" s="147"/>
    </row>
    <row r="15" spans="1:15" ht="12.95" customHeight="1">
      <c r="A15" s="452"/>
      <c r="B15" s="455"/>
      <c r="C15" s="461" t="s">
        <v>14</v>
      </c>
      <c r="D15" s="462"/>
      <c r="E15" s="170">
        <v>2.7</v>
      </c>
      <c r="F15" s="170">
        <f>E15</f>
        <v>2.7</v>
      </c>
      <c r="G15" s="170" t="s">
        <v>8</v>
      </c>
      <c r="H15" s="170">
        <f>IF(G15="IN",H14+F15,H14)</f>
        <v>2.7</v>
      </c>
      <c r="I15" s="170">
        <f t="shared" ref="I15:I78" si="1">IF(H15="","",$K$6-H15)</f>
        <v>11816.48</v>
      </c>
      <c r="J15" s="173">
        <f t="shared" si="0"/>
        <v>127.05861619556914</v>
      </c>
      <c r="K15" s="463" t="s">
        <v>129</v>
      </c>
      <c r="L15" s="464"/>
      <c r="M15" s="11"/>
    </row>
    <row r="16" spans="1:15" ht="12.95" customHeight="1" thickBot="1">
      <c r="A16" s="453"/>
      <c r="B16" s="456"/>
      <c r="C16" s="465" t="s">
        <v>16</v>
      </c>
      <c r="D16" s="466"/>
      <c r="E16" s="174">
        <v>14.8</v>
      </c>
      <c r="F16" s="174">
        <f>E16</f>
        <v>14.8</v>
      </c>
      <c r="G16" s="174" t="s">
        <v>8</v>
      </c>
      <c r="H16" s="174">
        <f>IF(G16="IN",H15+F16,H15)</f>
        <v>17.5</v>
      </c>
      <c r="I16" s="174">
        <f t="shared" si="1"/>
        <v>11801.68</v>
      </c>
      <c r="J16" s="175">
        <f t="shared" si="0"/>
        <v>127.37991978609625</v>
      </c>
      <c r="K16" s="471" t="s">
        <v>131</v>
      </c>
      <c r="L16" s="472"/>
      <c r="M16" s="11"/>
    </row>
    <row r="17" spans="1:15" s="225" customFormat="1" ht="13.5" thickBot="1">
      <c r="A17" s="319" t="s">
        <v>166</v>
      </c>
      <c r="B17" s="473" t="s">
        <v>123</v>
      </c>
      <c r="C17" s="473"/>
      <c r="D17" s="474"/>
      <c r="E17" s="325">
        <v>20.22</v>
      </c>
      <c r="F17" s="269">
        <f>E17-($C$10)</f>
        <v>19.821999999999999</v>
      </c>
      <c r="G17" s="270" t="s">
        <v>8</v>
      </c>
      <c r="H17" s="270">
        <f>IF(G17="IN",H16+F17,H16)</f>
        <v>37.322000000000003</v>
      </c>
      <c r="I17" s="269">
        <f t="shared" si="1"/>
        <v>11781.858</v>
      </c>
      <c r="J17" s="273">
        <f t="shared" si="0"/>
        <v>127.81024950038197</v>
      </c>
      <c r="K17" s="475"/>
      <c r="L17" s="476"/>
      <c r="M17" s="224"/>
    </row>
    <row r="18" spans="1:15" ht="12.95" customHeight="1">
      <c r="A18" s="477" t="s">
        <v>141</v>
      </c>
      <c r="B18" s="480" t="s">
        <v>132</v>
      </c>
      <c r="C18" s="482" t="s">
        <v>16</v>
      </c>
      <c r="D18" s="483"/>
      <c r="E18" s="180">
        <v>10.210000000000001</v>
      </c>
      <c r="F18" s="180">
        <f>E18-($C$10)</f>
        <v>9.8120000000000012</v>
      </c>
      <c r="G18" s="180" t="s">
        <v>8</v>
      </c>
      <c r="H18" s="180">
        <f t="shared" ref="H18:H81" si="2">IF(G18="IN",H17+F18,H17)</f>
        <v>47.134</v>
      </c>
      <c r="I18" s="180">
        <f t="shared" si="1"/>
        <v>11772.046</v>
      </c>
      <c r="J18" s="274">
        <f t="shared" si="0"/>
        <v>128.02326509702061</v>
      </c>
      <c r="K18" s="484" t="s">
        <v>133</v>
      </c>
      <c r="L18" s="485"/>
      <c r="M18" s="11"/>
      <c r="N18" s="11"/>
    </row>
    <row r="19" spans="1:15" ht="12.95" customHeight="1">
      <c r="A19" s="478"/>
      <c r="B19" s="481"/>
      <c r="C19" s="486" t="s">
        <v>56</v>
      </c>
      <c r="D19" s="487"/>
      <c r="E19" s="179">
        <v>9.94</v>
      </c>
      <c r="F19" s="179">
        <f>E19</f>
        <v>9.94</v>
      </c>
      <c r="G19" s="179" t="s">
        <v>8</v>
      </c>
      <c r="H19" s="179">
        <f t="shared" si="2"/>
        <v>57.073999999999998</v>
      </c>
      <c r="I19" s="183">
        <f t="shared" si="1"/>
        <v>11762.106</v>
      </c>
      <c r="J19" s="275">
        <f t="shared" si="0"/>
        <v>128.2390595355233</v>
      </c>
      <c r="K19" s="488" t="s">
        <v>117</v>
      </c>
      <c r="L19" s="489"/>
      <c r="M19" s="11"/>
    </row>
    <row r="20" spans="1:15" ht="12.95" customHeight="1">
      <c r="A20" s="478"/>
      <c r="B20" s="481"/>
      <c r="C20" s="490" t="s">
        <v>18</v>
      </c>
      <c r="D20" s="491"/>
      <c r="E20" s="178">
        <v>3.24</v>
      </c>
      <c r="F20" s="178">
        <f>E20</f>
        <v>3.24</v>
      </c>
      <c r="G20" s="178" t="s">
        <v>8</v>
      </c>
      <c r="H20" s="178">
        <f t="shared" si="2"/>
        <v>60.314</v>
      </c>
      <c r="I20" s="178">
        <f t="shared" si="1"/>
        <v>11758.866</v>
      </c>
      <c r="J20" s="276">
        <f t="shared" si="0"/>
        <v>128.30939897020627</v>
      </c>
      <c r="K20" s="488" t="s">
        <v>118</v>
      </c>
      <c r="L20" s="489"/>
      <c r="M20" s="11"/>
    </row>
    <row r="21" spans="1:15" ht="12.95" customHeight="1">
      <c r="A21" s="478"/>
      <c r="B21" s="481"/>
      <c r="C21" s="490" t="s">
        <v>71</v>
      </c>
      <c r="D21" s="491"/>
      <c r="E21" s="178">
        <v>2.4500000000000002</v>
      </c>
      <c r="F21" s="178">
        <f>E21</f>
        <v>2.4500000000000002</v>
      </c>
      <c r="G21" s="178" t="s">
        <v>8</v>
      </c>
      <c r="H21" s="178">
        <f t="shared" si="2"/>
        <v>62.764000000000003</v>
      </c>
      <c r="I21" s="178">
        <f t="shared" si="1"/>
        <v>11756.416000000001</v>
      </c>
      <c r="J21" s="276">
        <f t="shared" si="0"/>
        <v>128.36258774025973</v>
      </c>
      <c r="K21" s="488" t="s">
        <v>134</v>
      </c>
      <c r="L21" s="489"/>
      <c r="M21" s="11"/>
    </row>
    <row r="22" spans="1:15" ht="12.95" customHeight="1" thickBot="1">
      <c r="A22" s="479"/>
      <c r="B22" s="481"/>
      <c r="C22" s="498" t="s">
        <v>16</v>
      </c>
      <c r="D22" s="499"/>
      <c r="E22" s="181">
        <v>9.82</v>
      </c>
      <c r="F22" s="181">
        <f>E22</f>
        <v>9.82</v>
      </c>
      <c r="G22" s="181" t="s">
        <v>8</v>
      </c>
      <c r="H22" s="181">
        <f t="shared" si="2"/>
        <v>72.584000000000003</v>
      </c>
      <c r="I22" s="181">
        <f t="shared" si="1"/>
        <v>11746.596</v>
      </c>
      <c r="J22" s="272">
        <f t="shared" si="0"/>
        <v>128.5757770145149</v>
      </c>
      <c r="K22" s="500" t="s">
        <v>135</v>
      </c>
      <c r="L22" s="501"/>
      <c r="M22" s="11"/>
    </row>
    <row r="23" spans="1:15" s="10" customFormat="1" ht="14.1" customHeight="1">
      <c r="A23" s="299">
        <v>1</v>
      </c>
      <c r="B23" s="502" t="s">
        <v>152</v>
      </c>
      <c r="C23" s="503"/>
      <c r="D23" s="301">
        <v>370</v>
      </c>
      <c r="E23" s="197">
        <v>31.83</v>
      </c>
      <c r="F23" s="176">
        <f t="shared" ref="F23:F86" si="3">E23-($C$10)</f>
        <v>31.431999999999999</v>
      </c>
      <c r="G23" s="176" t="s">
        <v>8</v>
      </c>
      <c r="H23" s="176">
        <f t="shared" si="2"/>
        <v>104.01600000000001</v>
      </c>
      <c r="I23" s="176">
        <f t="shared" si="1"/>
        <v>11715.164000000001</v>
      </c>
      <c r="J23" s="177">
        <f t="shared" si="0"/>
        <v>129.25815636974789</v>
      </c>
      <c r="K23" s="504"/>
      <c r="L23" s="505"/>
      <c r="M23" s="14"/>
    </row>
    <row r="24" spans="1:15" s="10" customFormat="1" ht="14.1" customHeight="1" thickBot="1">
      <c r="A24" s="298">
        <v>2</v>
      </c>
      <c r="B24" s="492" t="s">
        <v>152</v>
      </c>
      <c r="C24" s="493"/>
      <c r="D24" s="300">
        <f>D23-1</f>
        <v>369</v>
      </c>
      <c r="E24" s="197">
        <v>33.520000000000003</v>
      </c>
      <c r="F24" s="165">
        <f t="shared" si="3"/>
        <v>33.122</v>
      </c>
      <c r="G24" s="165" t="s">
        <v>8</v>
      </c>
      <c r="H24" s="165">
        <f t="shared" si="2"/>
        <v>137.13800000000001</v>
      </c>
      <c r="I24" s="165">
        <f t="shared" si="1"/>
        <v>11682.041999999999</v>
      </c>
      <c r="J24" s="177">
        <f t="shared" si="0"/>
        <v>129.97722512146677</v>
      </c>
      <c r="K24" s="494"/>
      <c r="L24" s="495"/>
      <c r="M24" s="14"/>
    </row>
    <row r="25" spans="1:15" s="10" customFormat="1" ht="14.1" customHeight="1" thickBot="1">
      <c r="A25" s="298">
        <v>3</v>
      </c>
      <c r="B25" s="492" t="s">
        <v>152</v>
      </c>
      <c r="C25" s="493"/>
      <c r="D25" s="300">
        <f t="shared" ref="D25:D88" si="4">D24-1</f>
        <v>368</v>
      </c>
      <c r="E25" s="197">
        <v>33.17</v>
      </c>
      <c r="F25" s="165">
        <f t="shared" si="3"/>
        <v>32.771999999999998</v>
      </c>
      <c r="G25" s="165" t="s">
        <v>8</v>
      </c>
      <c r="H25" s="165">
        <f t="shared" si="2"/>
        <v>169.91</v>
      </c>
      <c r="I25" s="165">
        <f t="shared" si="1"/>
        <v>11649.27</v>
      </c>
      <c r="J25" s="177">
        <f t="shared" si="0"/>
        <v>130.68869547746371</v>
      </c>
      <c r="K25" s="496" t="s">
        <v>21</v>
      </c>
      <c r="L25" s="497"/>
      <c r="M25" s="14"/>
    </row>
    <row r="26" spans="1:15" s="10" customFormat="1" ht="14.1" customHeight="1" thickBot="1">
      <c r="A26" s="298">
        <v>4</v>
      </c>
      <c r="B26" s="492" t="s">
        <v>152</v>
      </c>
      <c r="C26" s="493"/>
      <c r="D26" s="300">
        <f t="shared" si="4"/>
        <v>367</v>
      </c>
      <c r="E26" s="197">
        <v>33.33</v>
      </c>
      <c r="F26" s="165">
        <f t="shared" si="3"/>
        <v>32.931999999999995</v>
      </c>
      <c r="G26" s="165" t="s">
        <v>8</v>
      </c>
      <c r="H26" s="165">
        <f t="shared" si="2"/>
        <v>202.84199999999998</v>
      </c>
      <c r="I26" s="165">
        <f t="shared" si="1"/>
        <v>11616.338</v>
      </c>
      <c r="J26" s="177">
        <f t="shared" si="0"/>
        <v>131.40363938579068</v>
      </c>
      <c r="K26" s="192">
        <v>11786.59</v>
      </c>
      <c r="L26" s="193">
        <v>11748.53</v>
      </c>
      <c r="M26" s="14"/>
    </row>
    <row r="27" spans="1:15" s="10" customFormat="1" ht="14.1" customHeight="1" thickBot="1">
      <c r="A27" s="298">
        <v>5</v>
      </c>
      <c r="B27" s="492" t="s">
        <v>152</v>
      </c>
      <c r="C27" s="493"/>
      <c r="D27" s="300">
        <f t="shared" si="4"/>
        <v>366</v>
      </c>
      <c r="E27" s="197">
        <v>33.53</v>
      </c>
      <c r="F27" s="165">
        <f t="shared" si="3"/>
        <v>33.131999999999998</v>
      </c>
      <c r="G27" s="165" t="s">
        <v>8</v>
      </c>
      <c r="H27" s="165">
        <f t="shared" si="2"/>
        <v>235.97399999999999</v>
      </c>
      <c r="I27" s="165">
        <f t="shared" si="1"/>
        <v>11583.206</v>
      </c>
      <c r="J27" s="177">
        <f t="shared" si="0"/>
        <v>132.12292523453019</v>
      </c>
      <c r="K27" s="194">
        <f>K26-I19</f>
        <v>24.484000000000378</v>
      </c>
      <c r="L27" s="195">
        <f>I19-L26</f>
        <v>13.575999999999112</v>
      </c>
      <c r="M27" s="17"/>
    </row>
    <row r="28" spans="1:15" s="10" customFormat="1" ht="14.1" customHeight="1">
      <c r="A28" s="298">
        <v>6</v>
      </c>
      <c r="B28" s="492" t="s">
        <v>152</v>
      </c>
      <c r="C28" s="493"/>
      <c r="D28" s="300">
        <f t="shared" si="4"/>
        <v>365</v>
      </c>
      <c r="E28" s="197">
        <v>33.46</v>
      </c>
      <c r="F28" s="165">
        <f t="shared" si="3"/>
        <v>33.061999999999998</v>
      </c>
      <c r="G28" s="165" t="s">
        <v>8</v>
      </c>
      <c r="H28" s="165">
        <f t="shared" si="2"/>
        <v>269.036</v>
      </c>
      <c r="I28" s="165">
        <f t="shared" si="1"/>
        <v>11550.144</v>
      </c>
      <c r="J28" s="177">
        <f t="shared" si="0"/>
        <v>132.84069140412529</v>
      </c>
      <c r="K28" s="512" t="s">
        <v>99</v>
      </c>
      <c r="L28" s="513"/>
      <c r="M28" s="14"/>
      <c r="N28" s="14"/>
    </row>
    <row r="29" spans="1:15" s="10" customFormat="1" ht="14.1" customHeight="1" thickBot="1">
      <c r="A29" s="298">
        <v>7</v>
      </c>
      <c r="B29" s="492" t="s">
        <v>152</v>
      </c>
      <c r="C29" s="493"/>
      <c r="D29" s="300">
        <f t="shared" si="4"/>
        <v>364</v>
      </c>
      <c r="E29" s="197">
        <v>33.619999999999997</v>
      </c>
      <c r="F29" s="165">
        <f t="shared" si="3"/>
        <v>33.221999999999994</v>
      </c>
      <c r="G29" s="165" t="s">
        <v>8</v>
      </c>
      <c r="H29" s="165">
        <f t="shared" si="2"/>
        <v>302.25799999999998</v>
      </c>
      <c r="I29" s="165">
        <f t="shared" si="1"/>
        <v>11516.922</v>
      </c>
      <c r="J29" s="177">
        <f t="shared" si="0"/>
        <v>133.56193112605041</v>
      </c>
      <c r="K29" s="514"/>
      <c r="L29" s="515"/>
      <c r="M29" s="14"/>
    </row>
    <row r="30" spans="1:15" s="10" customFormat="1" ht="14.1" customHeight="1">
      <c r="A30" s="298">
        <v>8</v>
      </c>
      <c r="B30" s="492" t="s">
        <v>152</v>
      </c>
      <c r="C30" s="493"/>
      <c r="D30" s="300">
        <f t="shared" si="4"/>
        <v>363</v>
      </c>
      <c r="E30" s="197">
        <v>33.36</v>
      </c>
      <c r="F30" s="165">
        <f t="shared" si="3"/>
        <v>32.961999999999996</v>
      </c>
      <c r="G30" s="165" t="s">
        <v>8</v>
      </c>
      <c r="H30" s="165">
        <f t="shared" si="2"/>
        <v>335.21999999999997</v>
      </c>
      <c r="I30" s="165">
        <f t="shared" si="1"/>
        <v>11483.960000000001</v>
      </c>
      <c r="J30" s="177">
        <f t="shared" si="0"/>
        <v>134.27752632543925</v>
      </c>
      <c r="K30" s="516"/>
      <c r="L30" s="517"/>
      <c r="M30" s="14"/>
      <c r="O30" s="14"/>
    </row>
    <row r="31" spans="1:15" s="10" customFormat="1" ht="12.95" customHeight="1" thickBot="1">
      <c r="A31" s="298">
        <v>9</v>
      </c>
      <c r="B31" s="492" t="s">
        <v>152</v>
      </c>
      <c r="C31" s="493"/>
      <c r="D31" s="300">
        <f t="shared" si="4"/>
        <v>362</v>
      </c>
      <c r="E31" s="197">
        <v>33.07</v>
      </c>
      <c r="F31" s="165">
        <f t="shared" si="3"/>
        <v>32.671999999999997</v>
      </c>
      <c r="G31" s="165" t="s">
        <v>8</v>
      </c>
      <c r="H31" s="165">
        <f t="shared" si="2"/>
        <v>367.89199999999994</v>
      </c>
      <c r="I31" s="165">
        <f t="shared" si="1"/>
        <v>11451.288</v>
      </c>
      <c r="J31" s="177">
        <f t="shared" si="0"/>
        <v>134.98682571122995</v>
      </c>
      <c r="K31" s="518"/>
      <c r="L31" s="519"/>
      <c r="M31" s="14"/>
    </row>
    <row r="32" spans="1:15" s="10" customFormat="1" ht="12.95" customHeight="1">
      <c r="A32" s="298">
        <v>10</v>
      </c>
      <c r="B32" s="492" t="s">
        <v>152</v>
      </c>
      <c r="C32" s="493"/>
      <c r="D32" s="300">
        <f t="shared" si="4"/>
        <v>361</v>
      </c>
      <c r="E32" s="197">
        <v>33.53</v>
      </c>
      <c r="F32" s="165">
        <f t="shared" si="3"/>
        <v>33.131999999999998</v>
      </c>
      <c r="G32" s="165" t="s">
        <v>8</v>
      </c>
      <c r="H32" s="165">
        <f t="shared" si="2"/>
        <v>401.02399999999994</v>
      </c>
      <c r="I32" s="165">
        <f t="shared" si="1"/>
        <v>11418.156000000001</v>
      </c>
      <c r="J32" s="177">
        <f t="shared" si="0"/>
        <v>135.70611155996943</v>
      </c>
      <c r="K32" s="506" t="s">
        <v>110</v>
      </c>
      <c r="L32" s="507"/>
      <c r="M32" s="14"/>
      <c r="O32" s="14"/>
    </row>
    <row r="33" spans="1:15" s="10" customFormat="1" ht="12.95" customHeight="1" thickBot="1">
      <c r="A33" s="298">
        <v>11</v>
      </c>
      <c r="B33" s="492" t="s">
        <v>152</v>
      </c>
      <c r="C33" s="493"/>
      <c r="D33" s="300">
        <f t="shared" si="4"/>
        <v>360</v>
      </c>
      <c r="E33" s="197">
        <v>33.43</v>
      </c>
      <c r="F33" s="165">
        <f t="shared" si="3"/>
        <v>33.031999999999996</v>
      </c>
      <c r="G33" s="165" t="s">
        <v>8</v>
      </c>
      <c r="H33" s="165">
        <f t="shared" si="2"/>
        <v>434.05599999999993</v>
      </c>
      <c r="I33" s="165">
        <f t="shared" si="1"/>
        <v>11385.124</v>
      </c>
      <c r="J33" s="177">
        <f t="shared" si="0"/>
        <v>136.42322643850267</v>
      </c>
      <c r="K33" s="508" t="s">
        <v>111</v>
      </c>
      <c r="L33" s="509"/>
      <c r="M33" s="14"/>
    </row>
    <row r="34" spans="1:15" s="10" customFormat="1" ht="12.95" customHeight="1" thickBot="1">
      <c r="A34" s="298">
        <v>12</v>
      </c>
      <c r="B34" s="492" t="s">
        <v>152</v>
      </c>
      <c r="C34" s="493"/>
      <c r="D34" s="300">
        <f t="shared" si="4"/>
        <v>359</v>
      </c>
      <c r="E34" s="197">
        <v>33.17</v>
      </c>
      <c r="F34" s="165">
        <f t="shared" si="3"/>
        <v>32.771999999999998</v>
      </c>
      <c r="G34" s="165" t="s">
        <v>8</v>
      </c>
      <c r="H34" s="165">
        <f t="shared" si="2"/>
        <v>466.82799999999992</v>
      </c>
      <c r="I34" s="165">
        <f t="shared" si="1"/>
        <v>11352.352000000001</v>
      </c>
      <c r="J34" s="177">
        <f t="shared" si="0"/>
        <v>137.13469679449963</v>
      </c>
      <c r="K34" s="144"/>
      <c r="L34" s="204"/>
      <c r="M34" s="14"/>
    </row>
    <row r="35" spans="1:15" s="10" customFormat="1" ht="12.95" customHeight="1">
      <c r="A35" s="298">
        <v>13</v>
      </c>
      <c r="B35" s="492" t="s">
        <v>152</v>
      </c>
      <c r="C35" s="493"/>
      <c r="D35" s="300">
        <f t="shared" si="4"/>
        <v>358</v>
      </c>
      <c r="E35" s="197">
        <v>32.93</v>
      </c>
      <c r="F35" s="165">
        <f t="shared" si="3"/>
        <v>32.531999999999996</v>
      </c>
      <c r="G35" s="165" t="s">
        <v>8</v>
      </c>
      <c r="H35" s="165">
        <f t="shared" si="2"/>
        <v>499.3599999999999</v>
      </c>
      <c r="I35" s="165">
        <f t="shared" si="1"/>
        <v>11319.82</v>
      </c>
      <c r="J35" s="177">
        <f t="shared" si="0"/>
        <v>137.84095682200152</v>
      </c>
      <c r="K35" s="510" t="s">
        <v>112</v>
      </c>
      <c r="L35" s="511"/>
      <c r="M35" s="14"/>
    </row>
    <row r="36" spans="1:15" s="10" customFormat="1" ht="12.95" customHeight="1" thickBot="1">
      <c r="A36" s="298">
        <v>14</v>
      </c>
      <c r="B36" s="492" t="s">
        <v>152</v>
      </c>
      <c r="C36" s="493"/>
      <c r="D36" s="300">
        <f t="shared" si="4"/>
        <v>357</v>
      </c>
      <c r="E36" s="197">
        <v>33.64</v>
      </c>
      <c r="F36" s="165">
        <f t="shared" si="3"/>
        <v>33.241999999999997</v>
      </c>
      <c r="G36" s="165" t="s">
        <v>8</v>
      </c>
      <c r="H36" s="165">
        <f t="shared" si="2"/>
        <v>532.60199999999986</v>
      </c>
      <c r="I36" s="165">
        <f t="shared" si="1"/>
        <v>11286.578000000001</v>
      </c>
      <c r="J36" s="177">
        <f t="shared" si="0"/>
        <v>138.56263073796791</v>
      </c>
      <c r="K36" s="520" t="s">
        <v>113</v>
      </c>
      <c r="L36" s="521"/>
      <c r="M36" s="14"/>
    </row>
    <row r="37" spans="1:15" s="10" customFormat="1" ht="12.95" customHeight="1">
      <c r="A37" s="298">
        <v>15</v>
      </c>
      <c r="B37" s="492" t="s">
        <v>152</v>
      </c>
      <c r="C37" s="493"/>
      <c r="D37" s="300">
        <f t="shared" si="4"/>
        <v>356</v>
      </c>
      <c r="E37" s="197">
        <v>33</v>
      </c>
      <c r="F37" s="165">
        <f t="shared" si="3"/>
        <v>32.601999999999997</v>
      </c>
      <c r="G37" s="165" t="s">
        <v>8</v>
      </c>
      <c r="H37" s="165">
        <f t="shared" si="2"/>
        <v>565.20399999999984</v>
      </c>
      <c r="I37" s="165">
        <f t="shared" si="1"/>
        <v>11253.976000000001</v>
      </c>
      <c r="J37" s="177">
        <f t="shared" si="0"/>
        <v>139.27041044461421</v>
      </c>
      <c r="K37" s="518"/>
      <c r="L37" s="519"/>
      <c r="M37" s="14"/>
    </row>
    <row r="38" spans="1:15" s="10" customFormat="1" ht="12.95" customHeight="1">
      <c r="A38" s="298">
        <v>16</v>
      </c>
      <c r="B38" s="492" t="s">
        <v>152</v>
      </c>
      <c r="C38" s="493"/>
      <c r="D38" s="300">
        <f t="shared" si="4"/>
        <v>355</v>
      </c>
      <c r="E38" s="197">
        <v>32.979999999999997</v>
      </c>
      <c r="F38" s="165">
        <f t="shared" si="3"/>
        <v>32.581999999999994</v>
      </c>
      <c r="G38" s="165" t="s">
        <v>8</v>
      </c>
      <c r="H38" s="165">
        <f t="shared" si="2"/>
        <v>597.78599999999983</v>
      </c>
      <c r="I38" s="165">
        <f t="shared" si="1"/>
        <v>11221.394</v>
      </c>
      <c r="J38" s="177">
        <f t="shared" si="0"/>
        <v>139.97775595721924</v>
      </c>
      <c r="K38" s="518"/>
      <c r="L38" s="519"/>
      <c r="M38" s="14"/>
      <c r="O38" s="14"/>
    </row>
    <row r="39" spans="1:15" s="10" customFormat="1" ht="12.95" customHeight="1">
      <c r="A39" s="298">
        <v>17</v>
      </c>
      <c r="B39" s="492" t="s">
        <v>152</v>
      </c>
      <c r="C39" s="493"/>
      <c r="D39" s="300">
        <f t="shared" si="4"/>
        <v>354</v>
      </c>
      <c r="E39" s="197">
        <v>33.35</v>
      </c>
      <c r="F39" s="165">
        <f t="shared" si="3"/>
        <v>32.951999999999998</v>
      </c>
      <c r="G39" s="165" t="s">
        <v>8</v>
      </c>
      <c r="H39" s="165">
        <f t="shared" si="2"/>
        <v>630.73799999999983</v>
      </c>
      <c r="I39" s="165">
        <f t="shared" si="1"/>
        <v>11188.442000000001</v>
      </c>
      <c r="J39" s="177">
        <f t="shared" si="0"/>
        <v>140.69313405958746</v>
      </c>
      <c r="K39" s="518"/>
      <c r="L39" s="519"/>
      <c r="M39" s="14"/>
    </row>
    <row r="40" spans="1:15" s="10" customFormat="1" ht="12.95" customHeight="1">
      <c r="A40" s="298">
        <v>18</v>
      </c>
      <c r="B40" s="492" t="s">
        <v>152</v>
      </c>
      <c r="C40" s="493"/>
      <c r="D40" s="300">
        <f t="shared" si="4"/>
        <v>353</v>
      </c>
      <c r="E40" s="197">
        <v>33.11</v>
      </c>
      <c r="F40" s="165">
        <f t="shared" si="3"/>
        <v>32.711999999999996</v>
      </c>
      <c r="G40" s="165" t="s">
        <v>8</v>
      </c>
      <c r="H40" s="165">
        <f t="shared" si="2"/>
        <v>663.44999999999982</v>
      </c>
      <c r="I40" s="165">
        <f t="shared" si="1"/>
        <v>11155.73</v>
      </c>
      <c r="J40" s="177">
        <f t="shared" si="0"/>
        <v>141.40330183346066</v>
      </c>
      <c r="K40" s="518"/>
      <c r="L40" s="519"/>
      <c r="M40" s="14"/>
    </row>
    <row r="41" spans="1:15" s="10" customFormat="1" ht="12.95" customHeight="1">
      <c r="A41" s="298">
        <v>19</v>
      </c>
      <c r="B41" s="492" t="s">
        <v>152</v>
      </c>
      <c r="C41" s="493"/>
      <c r="D41" s="300">
        <f t="shared" si="4"/>
        <v>352</v>
      </c>
      <c r="E41" s="197">
        <v>33.229999999999997</v>
      </c>
      <c r="F41" s="165">
        <f t="shared" si="3"/>
        <v>32.831999999999994</v>
      </c>
      <c r="G41" s="165" t="s">
        <v>8</v>
      </c>
      <c r="H41" s="165">
        <f t="shared" si="2"/>
        <v>696.28199999999981</v>
      </c>
      <c r="I41" s="165">
        <f t="shared" si="1"/>
        <v>11122.898000000001</v>
      </c>
      <c r="J41" s="177">
        <f t="shared" si="0"/>
        <v>142.11607477158137</v>
      </c>
      <c r="K41" s="518"/>
      <c r="L41" s="519"/>
      <c r="M41" s="14"/>
    </row>
    <row r="42" spans="1:15" s="10" customFormat="1" ht="12.95" customHeight="1">
      <c r="A42" s="298">
        <v>20</v>
      </c>
      <c r="B42" s="492" t="s">
        <v>152</v>
      </c>
      <c r="C42" s="493"/>
      <c r="D42" s="300">
        <f t="shared" si="4"/>
        <v>351</v>
      </c>
      <c r="E42" s="197">
        <v>33.22</v>
      </c>
      <c r="F42" s="165">
        <f t="shared" si="3"/>
        <v>32.821999999999996</v>
      </c>
      <c r="G42" s="165" t="s">
        <v>8</v>
      </c>
      <c r="H42" s="165">
        <f t="shared" si="2"/>
        <v>729.10399999999981</v>
      </c>
      <c r="I42" s="165">
        <f t="shared" si="1"/>
        <v>11090.076000000001</v>
      </c>
      <c r="J42" s="177">
        <f t="shared" si="0"/>
        <v>142.82863061268142</v>
      </c>
      <c r="K42" s="518"/>
      <c r="L42" s="519"/>
      <c r="M42" s="14"/>
    </row>
    <row r="43" spans="1:15" s="10" customFormat="1" ht="12.95" customHeight="1">
      <c r="A43" s="298">
        <v>21</v>
      </c>
      <c r="B43" s="492" t="s">
        <v>152</v>
      </c>
      <c r="C43" s="493"/>
      <c r="D43" s="300">
        <f t="shared" si="4"/>
        <v>350</v>
      </c>
      <c r="E43" s="197">
        <v>33.04</v>
      </c>
      <c r="F43" s="165">
        <f t="shared" si="3"/>
        <v>32.641999999999996</v>
      </c>
      <c r="G43" s="165" t="s">
        <v>8</v>
      </c>
      <c r="H43" s="165">
        <f t="shared" si="2"/>
        <v>761.74599999999987</v>
      </c>
      <c r="I43" s="165">
        <f t="shared" si="1"/>
        <v>11057.434000000001</v>
      </c>
      <c r="J43" s="177">
        <f t="shared" si="0"/>
        <v>143.53727870741022</v>
      </c>
      <c r="K43" s="518"/>
      <c r="L43" s="519"/>
      <c r="M43" s="14"/>
      <c r="O43" s="14"/>
    </row>
    <row r="44" spans="1:15" s="10" customFormat="1" ht="12.95" customHeight="1">
      <c r="A44" s="298">
        <v>22</v>
      </c>
      <c r="B44" s="492" t="s">
        <v>152</v>
      </c>
      <c r="C44" s="493"/>
      <c r="D44" s="300">
        <f t="shared" si="4"/>
        <v>349</v>
      </c>
      <c r="E44" s="197">
        <v>31.72</v>
      </c>
      <c r="F44" s="165">
        <f t="shared" si="3"/>
        <v>31.321999999999999</v>
      </c>
      <c r="G44" s="165" t="s">
        <v>8</v>
      </c>
      <c r="H44" s="165">
        <f t="shared" si="2"/>
        <v>793.06799999999987</v>
      </c>
      <c r="I44" s="165">
        <f t="shared" si="1"/>
        <v>11026.112000000001</v>
      </c>
      <c r="J44" s="177">
        <f t="shared" si="0"/>
        <v>144.21726999541636</v>
      </c>
      <c r="K44" s="518"/>
      <c r="L44" s="519"/>
      <c r="M44" s="14"/>
    </row>
    <row r="45" spans="1:15" s="10" customFormat="1" ht="12.95" customHeight="1">
      <c r="A45" s="298">
        <v>23</v>
      </c>
      <c r="B45" s="492" t="s">
        <v>152</v>
      </c>
      <c r="C45" s="493"/>
      <c r="D45" s="300">
        <f t="shared" si="4"/>
        <v>348</v>
      </c>
      <c r="E45" s="197">
        <v>32.659999999999997</v>
      </c>
      <c r="F45" s="165">
        <f t="shared" si="3"/>
        <v>32.261999999999993</v>
      </c>
      <c r="G45" s="165" t="s">
        <v>8</v>
      </c>
      <c r="H45" s="165">
        <f t="shared" si="2"/>
        <v>825.32999999999981</v>
      </c>
      <c r="I45" s="165">
        <f t="shared" si="1"/>
        <v>10993.85</v>
      </c>
      <c r="J45" s="177">
        <f t="shared" si="0"/>
        <v>144.91766840336135</v>
      </c>
      <c r="K45" s="518"/>
      <c r="L45" s="519"/>
      <c r="M45" s="14"/>
    </row>
    <row r="46" spans="1:15" s="10" customFormat="1" ht="12.95" customHeight="1">
      <c r="A46" s="298">
        <v>24</v>
      </c>
      <c r="B46" s="492" t="s">
        <v>152</v>
      </c>
      <c r="C46" s="493"/>
      <c r="D46" s="300">
        <f t="shared" si="4"/>
        <v>347</v>
      </c>
      <c r="E46" s="197">
        <v>33.08</v>
      </c>
      <c r="F46" s="165">
        <f t="shared" si="3"/>
        <v>32.681999999999995</v>
      </c>
      <c r="G46" s="165" t="s">
        <v>8</v>
      </c>
      <c r="H46" s="165">
        <f t="shared" si="2"/>
        <v>858.01199999999983</v>
      </c>
      <c r="I46" s="165">
        <f t="shared" si="1"/>
        <v>10961.168</v>
      </c>
      <c r="J46" s="177">
        <f t="shared" si="0"/>
        <v>145.62718488617264</v>
      </c>
      <c r="K46" s="518"/>
      <c r="L46" s="519"/>
      <c r="M46" s="14"/>
    </row>
    <row r="47" spans="1:15" s="10" customFormat="1" ht="12.95" customHeight="1">
      <c r="A47" s="298">
        <v>25</v>
      </c>
      <c r="B47" s="492" t="s">
        <v>152</v>
      </c>
      <c r="C47" s="493"/>
      <c r="D47" s="300">
        <f t="shared" si="4"/>
        <v>346</v>
      </c>
      <c r="E47" s="197">
        <v>33.99</v>
      </c>
      <c r="F47" s="165">
        <f t="shared" si="3"/>
        <v>33.591999999999999</v>
      </c>
      <c r="G47" s="165" t="s">
        <v>8</v>
      </c>
      <c r="H47" s="165">
        <f t="shared" si="2"/>
        <v>891.60399999999981</v>
      </c>
      <c r="I47" s="165">
        <f t="shared" si="1"/>
        <v>10927.576000000001</v>
      </c>
      <c r="J47" s="177">
        <f t="shared" si="0"/>
        <v>146.35645719786095</v>
      </c>
      <c r="K47" s="518"/>
      <c r="L47" s="519"/>
      <c r="M47" s="14"/>
    </row>
    <row r="48" spans="1:15" s="10" customFormat="1" ht="12.95" customHeight="1">
      <c r="A48" s="298">
        <v>26</v>
      </c>
      <c r="B48" s="492" t="s">
        <v>152</v>
      </c>
      <c r="C48" s="493"/>
      <c r="D48" s="300">
        <f t="shared" si="4"/>
        <v>345</v>
      </c>
      <c r="E48" s="197">
        <v>33.619999999999997</v>
      </c>
      <c r="F48" s="165">
        <f t="shared" si="3"/>
        <v>33.221999999999994</v>
      </c>
      <c r="G48" s="165" t="s">
        <v>8</v>
      </c>
      <c r="H48" s="165">
        <f t="shared" si="2"/>
        <v>924.82599999999979</v>
      </c>
      <c r="I48" s="165">
        <f t="shared" si="1"/>
        <v>10894.354000000001</v>
      </c>
      <c r="J48" s="177">
        <f t="shared" si="0"/>
        <v>147.07769691978609</v>
      </c>
      <c r="K48" s="518"/>
      <c r="L48" s="519"/>
      <c r="M48" s="14"/>
    </row>
    <row r="49" spans="1:13" s="10" customFormat="1" ht="12.95" customHeight="1">
      <c r="A49" s="298">
        <v>27</v>
      </c>
      <c r="B49" s="492" t="s">
        <v>152</v>
      </c>
      <c r="C49" s="493"/>
      <c r="D49" s="300">
        <f t="shared" si="4"/>
        <v>344</v>
      </c>
      <c r="E49" s="197">
        <v>33.22</v>
      </c>
      <c r="F49" s="165">
        <f t="shared" si="3"/>
        <v>32.821999999999996</v>
      </c>
      <c r="G49" s="165" t="s">
        <v>8</v>
      </c>
      <c r="H49" s="165">
        <f t="shared" si="2"/>
        <v>957.6479999999998</v>
      </c>
      <c r="I49" s="165">
        <f t="shared" si="1"/>
        <v>10861.532000000001</v>
      </c>
      <c r="J49" s="177">
        <f t="shared" si="0"/>
        <v>147.79025276088618</v>
      </c>
      <c r="K49" s="518"/>
      <c r="L49" s="519"/>
      <c r="M49" s="14"/>
    </row>
    <row r="50" spans="1:13" s="10" customFormat="1" ht="12.95" customHeight="1">
      <c r="A50" s="298">
        <v>28</v>
      </c>
      <c r="B50" s="492" t="s">
        <v>152</v>
      </c>
      <c r="C50" s="493"/>
      <c r="D50" s="300">
        <f t="shared" si="4"/>
        <v>343</v>
      </c>
      <c r="E50" s="197">
        <v>33.46</v>
      </c>
      <c r="F50" s="165">
        <f t="shared" si="3"/>
        <v>33.061999999999998</v>
      </c>
      <c r="G50" s="165" t="s">
        <v>8</v>
      </c>
      <c r="H50" s="165">
        <f t="shared" si="2"/>
        <v>990.70999999999981</v>
      </c>
      <c r="I50" s="165">
        <f t="shared" si="1"/>
        <v>10828.470000000001</v>
      </c>
      <c r="J50" s="177">
        <f t="shared" si="0"/>
        <v>148.50801893048128</v>
      </c>
      <c r="K50" s="518"/>
      <c r="L50" s="519"/>
      <c r="M50" s="14"/>
    </row>
    <row r="51" spans="1:13" s="10" customFormat="1" ht="12.95" customHeight="1">
      <c r="A51" s="298">
        <v>29</v>
      </c>
      <c r="B51" s="492" t="s">
        <v>152</v>
      </c>
      <c r="C51" s="493"/>
      <c r="D51" s="300">
        <f t="shared" si="4"/>
        <v>342</v>
      </c>
      <c r="E51" s="197">
        <v>32.93</v>
      </c>
      <c r="F51" s="165">
        <f t="shared" si="3"/>
        <v>32.531999999999996</v>
      </c>
      <c r="G51" s="165" t="s">
        <v>8</v>
      </c>
      <c r="H51" s="165">
        <f t="shared" si="2"/>
        <v>1023.2419999999998</v>
      </c>
      <c r="I51" s="165">
        <f t="shared" si="1"/>
        <v>10795.938</v>
      </c>
      <c r="J51" s="177">
        <f t="shared" si="0"/>
        <v>149.2142789579832</v>
      </c>
      <c r="K51" s="518"/>
      <c r="L51" s="519"/>
      <c r="M51" s="14"/>
    </row>
    <row r="52" spans="1:13" s="10" customFormat="1" ht="12.95" customHeight="1">
      <c r="A52" s="298">
        <v>30</v>
      </c>
      <c r="B52" s="492" t="s">
        <v>152</v>
      </c>
      <c r="C52" s="493"/>
      <c r="D52" s="300">
        <f t="shared" si="4"/>
        <v>341</v>
      </c>
      <c r="E52" s="197">
        <v>33.65</v>
      </c>
      <c r="F52" s="165">
        <f t="shared" si="3"/>
        <v>33.251999999999995</v>
      </c>
      <c r="G52" s="165" t="s">
        <v>8</v>
      </c>
      <c r="H52" s="165">
        <f t="shared" si="2"/>
        <v>1056.4939999999999</v>
      </c>
      <c r="I52" s="165">
        <f t="shared" si="1"/>
        <v>10762.686</v>
      </c>
      <c r="J52" s="177">
        <f t="shared" si="0"/>
        <v>149.93616997097021</v>
      </c>
      <c r="K52" s="518"/>
      <c r="L52" s="519"/>
      <c r="M52" s="14"/>
    </row>
    <row r="53" spans="1:13" s="10" customFormat="1" ht="12.95" customHeight="1">
      <c r="A53" s="298">
        <v>31</v>
      </c>
      <c r="B53" s="492" t="s">
        <v>152</v>
      </c>
      <c r="C53" s="493"/>
      <c r="D53" s="300">
        <f t="shared" si="4"/>
        <v>340</v>
      </c>
      <c r="E53" s="197">
        <v>33.81</v>
      </c>
      <c r="F53" s="165">
        <f t="shared" si="3"/>
        <v>33.411999999999999</v>
      </c>
      <c r="G53" s="165" t="s">
        <v>8</v>
      </c>
      <c r="H53" s="165">
        <f t="shared" si="2"/>
        <v>1089.9059999999999</v>
      </c>
      <c r="I53" s="165">
        <f t="shared" si="1"/>
        <v>10729.274000000001</v>
      </c>
      <c r="J53" s="177">
        <f t="shared" si="0"/>
        <v>150.66153453628723</v>
      </c>
      <c r="K53" s="518"/>
      <c r="L53" s="519"/>
      <c r="M53" s="14"/>
    </row>
    <row r="54" spans="1:13" s="10" customFormat="1" ht="12.95" customHeight="1">
      <c r="A54" s="298">
        <v>32</v>
      </c>
      <c r="B54" s="492" t="s">
        <v>152</v>
      </c>
      <c r="C54" s="493"/>
      <c r="D54" s="300">
        <f t="shared" si="4"/>
        <v>339</v>
      </c>
      <c r="E54" s="197">
        <v>33.840000000000003</v>
      </c>
      <c r="F54" s="165">
        <f t="shared" si="3"/>
        <v>33.442</v>
      </c>
      <c r="G54" s="165" t="s">
        <v>8</v>
      </c>
      <c r="H54" s="165">
        <f t="shared" si="2"/>
        <v>1123.348</v>
      </c>
      <c r="I54" s="165">
        <f t="shared" si="1"/>
        <v>10695.832</v>
      </c>
      <c r="J54" s="177">
        <f t="shared" si="0"/>
        <v>151.38755039266616</v>
      </c>
      <c r="K54" s="518" t="s">
        <v>7</v>
      </c>
      <c r="L54" s="519"/>
      <c r="M54" s="14"/>
    </row>
    <row r="55" spans="1:13" s="10" customFormat="1" ht="12.95" customHeight="1">
      <c r="A55" s="298">
        <v>33</v>
      </c>
      <c r="B55" s="492" t="s">
        <v>152</v>
      </c>
      <c r="C55" s="493"/>
      <c r="D55" s="300">
        <f t="shared" si="4"/>
        <v>338</v>
      </c>
      <c r="E55" s="197">
        <v>30.97</v>
      </c>
      <c r="F55" s="165">
        <f t="shared" si="3"/>
        <v>30.571999999999999</v>
      </c>
      <c r="G55" s="165" t="s">
        <v>8</v>
      </c>
      <c r="H55" s="165">
        <f t="shared" si="2"/>
        <v>1153.9199999999998</v>
      </c>
      <c r="I55" s="165">
        <f t="shared" si="1"/>
        <v>10665.26</v>
      </c>
      <c r="J55" s="177">
        <f t="shared" si="0"/>
        <v>152.05125940412529</v>
      </c>
      <c r="K55" s="518"/>
      <c r="L55" s="519"/>
      <c r="M55" s="14"/>
    </row>
    <row r="56" spans="1:13" s="10" customFormat="1" ht="12.95" customHeight="1">
      <c r="A56" s="298">
        <v>34</v>
      </c>
      <c r="B56" s="492" t="s">
        <v>152</v>
      </c>
      <c r="C56" s="493"/>
      <c r="D56" s="300">
        <f t="shared" si="4"/>
        <v>337</v>
      </c>
      <c r="E56" s="197">
        <v>32.47</v>
      </c>
      <c r="F56" s="165">
        <f t="shared" si="3"/>
        <v>32.071999999999996</v>
      </c>
      <c r="G56" s="165" t="s">
        <v>8</v>
      </c>
      <c r="H56" s="165">
        <f t="shared" si="2"/>
        <v>1185.9919999999997</v>
      </c>
      <c r="I56" s="165">
        <f t="shared" si="1"/>
        <v>10633.188</v>
      </c>
      <c r="J56" s="177">
        <f t="shared" si="0"/>
        <v>152.74753296867837</v>
      </c>
      <c r="K56" s="518"/>
      <c r="L56" s="519"/>
      <c r="M56" s="14"/>
    </row>
    <row r="57" spans="1:13" s="10" customFormat="1" ht="12.95" customHeight="1">
      <c r="A57" s="298">
        <v>35</v>
      </c>
      <c r="B57" s="492" t="s">
        <v>152</v>
      </c>
      <c r="C57" s="493"/>
      <c r="D57" s="300">
        <f t="shared" si="4"/>
        <v>336</v>
      </c>
      <c r="E57" s="197">
        <v>33.700000000000003</v>
      </c>
      <c r="F57" s="164">
        <f t="shared" si="3"/>
        <v>33.302</v>
      </c>
      <c r="G57" s="165" t="s">
        <v>8</v>
      </c>
      <c r="H57" s="164">
        <f t="shared" si="2"/>
        <v>1219.2939999999996</v>
      </c>
      <c r="I57" s="165">
        <f t="shared" si="1"/>
        <v>10599.886</v>
      </c>
      <c r="J57" s="177">
        <f t="shared" si="0"/>
        <v>153.47050946676853</v>
      </c>
      <c r="K57" s="518"/>
      <c r="L57" s="519"/>
      <c r="M57" s="14"/>
    </row>
    <row r="58" spans="1:13" s="10" customFormat="1" ht="12.95" customHeight="1">
      <c r="A58" s="298">
        <v>36</v>
      </c>
      <c r="B58" s="492" t="s">
        <v>152</v>
      </c>
      <c r="C58" s="493"/>
      <c r="D58" s="300">
        <f t="shared" si="4"/>
        <v>335</v>
      </c>
      <c r="E58" s="197">
        <v>33.61</v>
      </c>
      <c r="F58" s="165">
        <f t="shared" si="3"/>
        <v>33.211999999999996</v>
      </c>
      <c r="G58" s="165" t="s">
        <v>8</v>
      </c>
      <c r="H58" s="165">
        <f t="shared" si="2"/>
        <v>1252.5059999999996</v>
      </c>
      <c r="I58" s="165">
        <f t="shared" si="1"/>
        <v>10566.674000000001</v>
      </c>
      <c r="J58" s="177">
        <f t="shared" si="0"/>
        <v>154.19153209167303</v>
      </c>
      <c r="K58" s="518"/>
      <c r="L58" s="519"/>
      <c r="M58" s="14"/>
    </row>
    <row r="59" spans="1:13" s="10" customFormat="1" ht="12.95" customHeight="1">
      <c r="A59" s="298">
        <v>37</v>
      </c>
      <c r="B59" s="492" t="s">
        <v>152</v>
      </c>
      <c r="C59" s="493"/>
      <c r="D59" s="300">
        <f t="shared" si="4"/>
        <v>334</v>
      </c>
      <c r="E59" s="197">
        <v>33.549999999999997</v>
      </c>
      <c r="F59" s="165">
        <f t="shared" si="3"/>
        <v>33.151999999999994</v>
      </c>
      <c r="G59" s="165" t="s">
        <v>8</v>
      </c>
      <c r="H59" s="165">
        <f t="shared" si="2"/>
        <v>1285.6579999999997</v>
      </c>
      <c r="I59" s="165">
        <f t="shared" si="1"/>
        <v>10533.522000000001</v>
      </c>
      <c r="J59" s="177">
        <f t="shared" si="0"/>
        <v>154.91125213445378</v>
      </c>
      <c r="K59" s="518"/>
      <c r="L59" s="519"/>
      <c r="M59" s="14"/>
    </row>
    <row r="60" spans="1:13" s="10" customFormat="1">
      <c r="A60" s="298">
        <v>38</v>
      </c>
      <c r="B60" s="492" t="s">
        <v>152</v>
      </c>
      <c r="C60" s="493"/>
      <c r="D60" s="300">
        <f t="shared" si="4"/>
        <v>333</v>
      </c>
      <c r="E60" s="197">
        <v>32.9</v>
      </c>
      <c r="F60" s="165">
        <f t="shared" si="3"/>
        <v>32.501999999999995</v>
      </c>
      <c r="G60" s="165" t="s">
        <v>8</v>
      </c>
      <c r="H60" s="165">
        <f t="shared" si="2"/>
        <v>1318.1599999999996</v>
      </c>
      <c r="I60" s="165">
        <f t="shared" si="1"/>
        <v>10501.02</v>
      </c>
      <c r="J60" s="177">
        <f t="shared" si="0"/>
        <v>155.61686087089382</v>
      </c>
      <c r="K60" s="518"/>
      <c r="L60" s="519"/>
      <c r="M60" s="14"/>
    </row>
    <row r="61" spans="1:13" s="10" customFormat="1" ht="12.95" customHeight="1">
      <c r="A61" s="298">
        <v>39</v>
      </c>
      <c r="B61" s="492" t="s">
        <v>152</v>
      </c>
      <c r="C61" s="493"/>
      <c r="D61" s="300">
        <f t="shared" si="4"/>
        <v>332</v>
      </c>
      <c r="E61" s="197">
        <v>33.520000000000003</v>
      </c>
      <c r="F61" s="165">
        <f t="shared" si="3"/>
        <v>33.122</v>
      </c>
      <c r="G61" s="165" t="s">
        <v>8</v>
      </c>
      <c r="H61" s="165">
        <f t="shared" si="2"/>
        <v>1351.2819999999997</v>
      </c>
      <c r="I61" s="165">
        <f t="shared" si="1"/>
        <v>10467.898000000001</v>
      </c>
      <c r="J61" s="177">
        <f t="shared" si="0"/>
        <v>156.33592962261267</v>
      </c>
      <c r="K61" s="518"/>
      <c r="L61" s="519"/>
      <c r="M61" s="14"/>
    </row>
    <row r="62" spans="1:13" s="10" customFormat="1" ht="12.95" customHeight="1">
      <c r="A62" s="298">
        <v>40</v>
      </c>
      <c r="B62" s="492" t="s">
        <v>152</v>
      </c>
      <c r="C62" s="493"/>
      <c r="D62" s="300">
        <f t="shared" si="4"/>
        <v>331</v>
      </c>
      <c r="E62" s="197">
        <v>33.4</v>
      </c>
      <c r="F62" s="165">
        <f t="shared" si="3"/>
        <v>33.001999999999995</v>
      </c>
      <c r="G62" s="165" t="s">
        <v>8</v>
      </c>
      <c r="H62" s="165">
        <f t="shared" si="2"/>
        <v>1384.2839999999997</v>
      </c>
      <c r="I62" s="165">
        <f t="shared" si="1"/>
        <v>10434.896000000001</v>
      </c>
      <c r="J62" s="177">
        <f t="shared" si="0"/>
        <v>157.05239321008403</v>
      </c>
      <c r="K62" s="518"/>
      <c r="L62" s="519"/>
      <c r="M62" s="14"/>
    </row>
    <row r="63" spans="1:13" s="10" customFormat="1" ht="12.95" customHeight="1">
      <c r="A63" s="298">
        <v>41</v>
      </c>
      <c r="B63" s="492" t="s">
        <v>152</v>
      </c>
      <c r="C63" s="493"/>
      <c r="D63" s="300">
        <f t="shared" si="4"/>
        <v>330</v>
      </c>
      <c r="E63" s="197">
        <v>31.99</v>
      </c>
      <c r="F63" s="165">
        <f t="shared" si="3"/>
        <v>31.591999999999999</v>
      </c>
      <c r="G63" s="165" t="s">
        <v>8</v>
      </c>
      <c r="H63" s="165">
        <f t="shared" si="2"/>
        <v>1415.8759999999997</v>
      </c>
      <c r="I63" s="165">
        <f t="shared" si="1"/>
        <v>10403.304</v>
      </c>
      <c r="J63" s="177">
        <f t="shared" si="0"/>
        <v>157.73824611764707</v>
      </c>
      <c r="K63" s="518"/>
      <c r="L63" s="519"/>
      <c r="M63" s="14"/>
    </row>
    <row r="64" spans="1:13" s="10" customFormat="1" ht="12.95" customHeight="1">
      <c r="A64" s="298">
        <v>42</v>
      </c>
      <c r="B64" s="492" t="s">
        <v>152</v>
      </c>
      <c r="C64" s="493"/>
      <c r="D64" s="300">
        <f t="shared" si="4"/>
        <v>329</v>
      </c>
      <c r="E64" s="197">
        <v>33.380000000000003</v>
      </c>
      <c r="F64" s="165">
        <f t="shared" si="3"/>
        <v>32.981999999999999</v>
      </c>
      <c r="G64" s="165" t="s">
        <v>8</v>
      </c>
      <c r="H64" s="165">
        <f t="shared" si="2"/>
        <v>1448.8579999999997</v>
      </c>
      <c r="I64" s="165">
        <f t="shared" si="1"/>
        <v>10370.322</v>
      </c>
      <c r="J64" s="177">
        <f t="shared" si="0"/>
        <v>158.45427551107716</v>
      </c>
      <c r="K64" s="518"/>
      <c r="L64" s="519"/>
      <c r="M64" s="14"/>
    </row>
    <row r="65" spans="1:13" s="10" customFormat="1" ht="12.95" customHeight="1">
      <c r="A65" s="298">
        <v>43</v>
      </c>
      <c r="B65" s="492" t="s">
        <v>152</v>
      </c>
      <c r="C65" s="493"/>
      <c r="D65" s="300">
        <f t="shared" si="4"/>
        <v>328</v>
      </c>
      <c r="E65" s="197">
        <v>33.590000000000003</v>
      </c>
      <c r="F65" s="165">
        <f t="shared" si="3"/>
        <v>33.192</v>
      </c>
      <c r="G65" s="165" t="s">
        <v>8</v>
      </c>
      <c r="H65" s="165">
        <f t="shared" si="2"/>
        <v>1482.0499999999997</v>
      </c>
      <c r="I65" s="165">
        <f t="shared" si="1"/>
        <v>10337.130000000001</v>
      </c>
      <c r="J65" s="177">
        <f t="shared" si="0"/>
        <v>159.17486394194043</v>
      </c>
      <c r="K65" s="518"/>
      <c r="L65" s="519"/>
      <c r="M65" s="14"/>
    </row>
    <row r="66" spans="1:13" s="10" customFormat="1" ht="12.95" customHeight="1">
      <c r="A66" s="298">
        <v>44</v>
      </c>
      <c r="B66" s="492" t="s">
        <v>152</v>
      </c>
      <c r="C66" s="493"/>
      <c r="D66" s="300">
        <f t="shared" si="4"/>
        <v>327</v>
      </c>
      <c r="E66" s="197">
        <v>33.950000000000003</v>
      </c>
      <c r="F66" s="165">
        <f t="shared" si="3"/>
        <v>33.552</v>
      </c>
      <c r="G66" s="165" t="s">
        <v>8</v>
      </c>
      <c r="H66" s="165">
        <f t="shared" si="2"/>
        <v>1515.6019999999996</v>
      </c>
      <c r="I66" s="165">
        <f t="shared" si="1"/>
        <v>10303.578000000001</v>
      </c>
      <c r="J66" s="177">
        <f t="shared" si="0"/>
        <v>159.90326786554621</v>
      </c>
      <c r="K66" s="518"/>
      <c r="L66" s="519"/>
      <c r="M66" s="14"/>
    </row>
    <row r="67" spans="1:13" s="10" customFormat="1" ht="12.95" customHeight="1">
      <c r="A67" s="298">
        <v>45</v>
      </c>
      <c r="B67" s="492" t="s">
        <v>152</v>
      </c>
      <c r="C67" s="493"/>
      <c r="D67" s="300">
        <f t="shared" si="4"/>
        <v>326</v>
      </c>
      <c r="E67" s="197">
        <v>33.56</v>
      </c>
      <c r="F67" s="165">
        <f t="shared" si="3"/>
        <v>33.161999999999999</v>
      </c>
      <c r="G67" s="165" t="s">
        <v>8</v>
      </c>
      <c r="H67" s="165">
        <f t="shared" si="2"/>
        <v>1548.7639999999997</v>
      </c>
      <c r="I67" s="165">
        <f t="shared" si="1"/>
        <v>10270.416000000001</v>
      </c>
      <c r="J67" s="177">
        <f t="shared" si="0"/>
        <v>160.62320500534759</v>
      </c>
      <c r="K67" s="518"/>
      <c r="L67" s="519"/>
      <c r="M67" s="14"/>
    </row>
    <row r="68" spans="1:13" s="10" customFormat="1" ht="12.95" customHeight="1">
      <c r="A68" s="298">
        <v>46</v>
      </c>
      <c r="B68" s="492" t="s">
        <v>152</v>
      </c>
      <c r="C68" s="493"/>
      <c r="D68" s="300">
        <f t="shared" si="4"/>
        <v>325</v>
      </c>
      <c r="E68" s="197">
        <v>33.380000000000003</v>
      </c>
      <c r="F68" s="165">
        <f t="shared" si="3"/>
        <v>32.981999999999999</v>
      </c>
      <c r="G68" s="165" t="s">
        <v>8</v>
      </c>
      <c r="H68" s="165">
        <f t="shared" si="2"/>
        <v>1581.7459999999996</v>
      </c>
      <c r="I68" s="165">
        <f t="shared" si="1"/>
        <v>10237.434000000001</v>
      </c>
      <c r="J68" s="177">
        <f t="shared" si="0"/>
        <v>161.33923439877771</v>
      </c>
      <c r="K68" s="518"/>
      <c r="L68" s="519"/>
      <c r="M68" s="14"/>
    </row>
    <row r="69" spans="1:13" s="10" customFormat="1" ht="12.95" customHeight="1">
      <c r="A69" s="298">
        <v>47</v>
      </c>
      <c r="B69" s="492" t="s">
        <v>152</v>
      </c>
      <c r="C69" s="493"/>
      <c r="D69" s="300">
        <f t="shared" si="4"/>
        <v>324</v>
      </c>
      <c r="E69" s="197">
        <v>33.479999999999997</v>
      </c>
      <c r="F69" s="165">
        <f t="shared" si="3"/>
        <v>33.081999999999994</v>
      </c>
      <c r="G69" s="165" t="s">
        <v>8</v>
      </c>
      <c r="H69" s="165">
        <f t="shared" si="2"/>
        <v>1614.8279999999995</v>
      </c>
      <c r="I69" s="165">
        <f t="shared" si="1"/>
        <v>10204.352000000001</v>
      </c>
      <c r="J69" s="177">
        <f t="shared" si="0"/>
        <v>162.05743476241406</v>
      </c>
      <c r="K69" s="518"/>
      <c r="L69" s="519"/>
      <c r="M69" s="14"/>
    </row>
    <row r="70" spans="1:13" s="10" customFormat="1" ht="12.95" customHeight="1">
      <c r="A70" s="298">
        <v>48</v>
      </c>
      <c r="B70" s="492" t="s">
        <v>152</v>
      </c>
      <c r="C70" s="493"/>
      <c r="D70" s="300">
        <f t="shared" si="4"/>
        <v>323</v>
      </c>
      <c r="E70" s="197">
        <v>33.79</v>
      </c>
      <c r="F70" s="165">
        <f t="shared" si="3"/>
        <v>33.391999999999996</v>
      </c>
      <c r="G70" s="165" t="s">
        <v>8</v>
      </c>
      <c r="H70" s="165">
        <f t="shared" si="2"/>
        <v>1648.2199999999996</v>
      </c>
      <c r="I70" s="165">
        <f t="shared" si="1"/>
        <v>10170.960000000001</v>
      </c>
      <c r="J70" s="177">
        <f t="shared" si="0"/>
        <v>162.78236513368984</v>
      </c>
      <c r="K70" s="518"/>
      <c r="L70" s="519"/>
      <c r="M70" s="14"/>
    </row>
    <row r="71" spans="1:13" s="10" customFormat="1" ht="12.95" customHeight="1">
      <c r="A71" s="298">
        <v>49</v>
      </c>
      <c r="B71" s="492" t="s">
        <v>152</v>
      </c>
      <c r="C71" s="493"/>
      <c r="D71" s="300">
        <f t="shared" si="4"/>
        <v>322</v>
      </c>
      <c r="E71" s="197">
        <v>33.549999999999997</v>
      </c>
      <c r="F71" s="165">
        <f t="shared" si="3"/>
        <v>33.151999999999994</v>
      </c>
      <c r="G71" s="165" t="s">
        <v>8</v>
      </c>
      <c r="H71" s="165">
        <f t="shared" si="2"/>
        <v>1681.3719999999996</v>
      </c>
      <c r="I71" s="165">
        <f t="shared" si="1"/>
        <v>10137.808000000001</v>
      </c>
      <c r="J71" s="177">
        <f t="shared" si="0"/>
        <v>163.50208517647059</v>
      </c>
      <c r="K71" s="518"/>
      <c r="L71" s="519"/>
      <c r="M71" s="14"/>
    </row>
    <row r="72" spans="1:13" s="10" customFormat="1" ht="12.95" customHeight="1">
      <c r="A72" s="298">
        <v>50</v>
      </c>
      <c r="B72" s="492" t="s">
        <v>152</v>
      </c>
      <c r="C72" s="493"/>
      <c r="D72" s="300">
        <f t="shared" si="4"/>
        <v>321</v>
      </c>
      <c r="E72" s="197">
        <v>33.26</v>
      </c>
      <c r="F72" s="165">
        <f t="shared" si="3"/>
        <v>32.861999999999995</v>
      </c>
      <c r="G72" s="165" t="s">
        <v>8</v>
      </c>
      <c r="H72" s="165">
        <f t="shared" si="2"/>
        <v>1714.2339999999997</v>
      </c>
      <c r="I72" s="165">
        <f t="shared" si="1"/>
        <v>10104.946</v>
      </c>
      <c r="J72" s="177">
        <f t="shared" si="0"/>
        <v>164.21550940565317</v>
      </c>
      <c r="K72" s="518"/>
      <c r="L72" s="519"/>
      <c r="M72" s="14"/>
    </row>
    <row r="73" spans="1:13" s="10" customFormat="1" ht="12.95" customHeight="1">
      <c r="A73" s="298">
        <v>51</v>
      </c>
      <c r="B73" s="492" t="s">
        <v>152</v>
      </c>
      <c r="C73" s="493"/>
      <c r="D73" s="300">
        <f t="shared" si="4"/>
        <v>320</v>
      </c>
      <c r="E73" s="197">
        <v>33.61</v>
      </c>
      <c r="F73" s="165">
        <f t="shared" si="3"/>
        <v>33.211999999999996</v>
      </c>
      <c r="G73" s="165" t="s">
        <v>8</v>
      </c>
      <c r="H73" s="165">
        <f t="shared" si="2"/>
        <v>1747.4459999999997</v>
      </c>
      <c r="I73" s="165">
        <f t="shared" si="1"/>
        <v>10071.734</v>
      </c>
      <c r="J73" s="177">
        <f t="shared" si="0"/>
        <v>164.93653203055766</v>
      </c>
      <c r="K73" s="518"/>
      <c r="L73" s="519"/>
      <c r="M73" s="14"/>
    </row>
    <row r="74" spans="1:13" s="10" customFormat="1" ht="12.95" customHeight="1">
      <c r="A74" s="298">
        <v>52</v>
      </c>
      <c r="B74" s="492" t="s">
        <v>152</v>
      </c>
      <c r="C74" s="493"/>
      <c r="D74" s="300">
        <f t="shared" si="4"/>
        <v>319</v>
      </c>
      <c r="E74" s="197">
        <v>33.6</v>
      </c>
      <c r="F74" s="165">
        <f t="shared" si="3"/>
        <v>33.201999999999998</v>
      </c>
      <c r="G74" s="165" t="s">
        <v>8</v>
      </c>
      <c r="H74" s="165">
        <f t="shared" si="2"/>
        <v>1780.6479999999997</v>
      </c>
      <c r="I74" s="165">
        <f t="shared" si="1"/>
        <v>10038.532000000001</v>
      </c>
      <c r="J74" s="177">
        <f t="shared" si="0"/>
        <v>165.65733755844155</v>
      </c>
      <c r="K74" s="518"/>
      <c r="L74" s="519"/>
      <c r="M74" s="14"/>
    </row>
    <row r="75" spans="1:13" s="10" customFormat="1" ht="12.95" customHeight="1">
      <c r="A75" s="298">
        <v>53</v>
      </c>
      <c r="B75" s="492" t="s">
        <v>152</v>
      </c>
      <c r="C75" s="493"/>
      <c r="D75" s="300">
        <f t="shared" si="4"/>
        <v>318</v>
      </c>
      <c r="E75" s="197">
        <v>33.57</v>
      </c>
      <c r="F75" s="165">
        <f t="shared" si="3"/>
        <v>33.171999999999997</v>
      </c>
      <c r="G75" s="165" t="s">
        <v>8</v>
      </c>
      <c r="H75" s="165">
        <f t="shared" si="2"/>
        <v>1813.8199999999997</v>
      </c>
      <c r="I75" s="165">
        <f t="shared" si="1"/>
        <v>10005.36</v>
      </c>
      <c r="J75" s="177">
        <f t="shared" si="0"/>
        <v>166.37749179526355</v>
      </c>
      <c r="K75" s="518"/>
      <c r="L75" s="519"/>
      <c r="M75" s="14"/>
    </row>
    <row r="76" spans="1:13" s="10" customFormat="1" ht="12.95" customHeight="1">
      <c r="A76" s="298">
        <v>54</v>
      </c>
      <c r="B76" s="492" t="s">
        <v>152</v>
      </c>
      <c r="C76" s="493"/>
      <c r="D76" s="300">
        <f t="shared" si="4"/>
        <v>317</v>
      </c>
      <c r="E76" s="197">
        <v>33.369999999999997</v>
      </c>
      <c r="F76" s="165">
        <f t="shared" si="3"/>
        <v>32.971999999999994</v>
      </c>
      <c r="G76" s="165" t="s">
        <v>8</v>
      </c>
      <c r="H76" s="165">
        <f t="shared" si="2"/>
        <v>1846.7919999999997</v>
      </c>
      <c r="I76" s="165">
        <f t="shared" si="1"/>
        <v>9972.3880000000008</v>
      </c>
      <c r="J76" s="177">
        <f t="shared" si="0"/>
        <v>167.09330409167302</v>
      </c>
      <c r="K76" s="518"/>
      <c r="L76" s="519"/>
      <c r="M76" s="14"/>
    </row>
    <row r="77" spans="1:13" s="10" customFormat="1" ht="12.95" customHeight="1">
      <c r="A77" s="298">
        <v>55</v>
      </c>
      <c r="B77" s="492" t="s">
        <v>152</v>
      </c>
      <c r="C77" s="493"/>
      <c r="D77" s="300">
        <f t="shared" si="4"/>
        <v>316</v>
      </c>
      <c r="E77" s="197">
        <v>33.200000000000003</v>
      </c>
      <c r="F77" s="165">
        <f t="shared" si="3"/>
        <v>32.802</v>
      </c>
      <c r="G77" s="165" t="s">
        <v>8</v>
      </c>
      <c r="H77" s="165">
        <f t="shared" si="2"/>
        <v>1879.5939999999996</v>
      </c>
      <c r="I77" s="165">
        <f t="shared" si="1"/>
        <v>9939.5860000000011</v>
      </c>
      <c r="J77" s="177">
        <f t="shared" si="0"/>
        <v>167.80542573873186</v>
      </c>
      <c r="K77" s="518"/>
      <c r="L77" s="519"/>
      <c r="M77" s="14"/>
    </row>
    <row r="78" spans="1:13" s="10" customFormat="1" ht="12.95" customHeight="1">
      <c r="A78" s="298">
        <v>56</v>
      </c>
      <c r="B78" s="492" t="s">
        <v>152</v>
      </c>
      <c r="C78" s="493"/>
      <c r="D78" s="300">
        <f t="shared" si="4"/>
        <v>315</v>
      </c>
      <c r="E78" s="197">
        <v>33.51</v>
      </c>
      <c r="F78" s="165">
        <f t="shared" si="3"/>
        <v>33.111999999999995</v>
      </c>
      <c r="G78" s="165" t="s">
        <v>8</v>
      </c>
      <c r="H78" s="165">
        <f t="shared" si="2"/>
        <v>1912.7059999999997</v>
      </c>
      <c r="I78" s="165">
        <f t="shared" si="1"/>
        <v>9906.4740000000002</v>
      </c>
      <c r="J78" s="177">
        <f t="shared" ref="J78:J141" si="5">$G$7+(H78*$C$8*$G$10/1000)</f>
        <v>168.52427739343011</v>
      </c>
      <c r="K78" s="518"/>
      <c r="L78" s="519"/>
      <c r="M78" s="14"/>
    </row>
    <row r="79" spans="1:13" s="10" customFormat="1" ht="12.95" customHeight="1">
      <c r="A79" s="298">
        <v>57</v>
      </c>
      <c r="B79" s="492" t="s">
        <v>152</v>
      </c>
      <c r="C79" s="493"/>
      <c r="D79" s="300">
        <f t="shared" si="4"/>
        <v>314</v>
      </c>
      <c r="E79" s="197">
        <v>33.53</v>
      </c>
      <c r="F79" s="165">
        <f t="shared" si="3"/>
        <v>33.131999999999998</v>
      </c>
      <c r="G79" s="165" t="s">
        <v>8</v>
      </c>
      <c r="H79" s="165">
        <f t="shared" si="2"/>
        <v>1945.8379999999997</v>
      </c>
      <c r="I79" s="165">
        <f t="shared" ref="I79:I142" si="6">IF(H79="","",$K$6-H79)</f>
        <v>9873.3420000000006</v>
      </c>
      <c r="J79" s="177">
        <f t="shared" si="5"/>
        <v>169.24356324216959</v>
      </c>
      <c r="K79" s="518"/>
      <c r="L79" s="519"/>
      <c r="M79" s="14"/>
    </row>
    <row r="80" spans="1:13" s="10" customFormat="1" ht="12.95" customHeight="1">
      <c r="A80" s="298">
        <v>58</v>
      </c>
      <c r="B80" s="492" t="s">
        <v>152</v>
      </c>
      <c r="C80" s="493"/>
      <c r="D80" s="300">
        <f t="shared" si="4"/>
        <v>313</v>
      </c>
      <c r="E80" s="197">
        <v>33.53</v>
      </c>
      <c r="F80" s="165">
        <f t="shared" si="3"/>
        <v>33.131999999999998</v>
      </c>
      <c r="G80" s="165" t="s">
        <v>8</v>
      </c>
      <c r="H80" s="165">
        <f t="shared" si="2"/>
        <v>1978.9699999999998</v>
      </c>
      <c r="I80" s="165">
        <f t="shared" si="6"/>
        <v>9840.2100000000009</v>
      </c>
      <c r="J80" s="177">
        <f t="shared" si="5"/>
        <v>169.96284909090909</v>
      </c>
      <c r="K80" s="518"/>
      <c r="L80" s="519"/>
      <c r="M80" s="14"/>
    </row>
    <row r="81" spans="1:13" s="10" customFormat="1" ht="12.95" customHeight="1">
      <c r="A81" s="298">
        <v>59</v>
      </c>
      <c r="B81" s="492" t="s">
        <v>152</v>
      </c>
      <c r="C81" s="493"/>
      <c r="D81" s="300">
        <f t="shared" si="4"/>
        <v>312</v>
      </c>
      <c r="E81" s="197">
        <v>33.4</v>
      </c>
      <c r="F81" s="165">
        <f t="shared" si="3"/>
        <v>33.001999999999995</v>
      </c>
      <c r="G81" s="165" t="s">
        <v>8</v>
      </c>
      <c r="H81" s="165">
        <f t="shared" si="2"/>
        <v>2011.9719999999998</v>
      </c>
      <c r="I81" s="165">
        <f t="shared" si="6"/>
        <v>9807.2080000000005</v>
      </c>
      <c r="J81" s="177">
        <f t="shared" si="5"/>
        <v>170.67931267838046</v>
      </c>
      <c r="K81" s="518"/>
      <c r="L81" s="519"/>
    </row>
    <row r="82" spans="1:13" s="10" customFormat="1" ht="12.95" customHeight="1">
      <c r="A82" s="298">
        <v>60</v>
      </c>
      <c r="B82" s="492" t="s">
        <v>152</v>
      </c>
      <c r="C82" s="493"/>
      <c r="D82" s="300">
        <f t="shared" si="4"/>
        <v>311</v>
      </c>
      <c r="E82" s="197">
        <v>33.200000000000003</v>
      </c>
      <c r="F82" s="165">
        <f t="shared" si="3"/>
        <v>32.802</v>
      </c>
      <c r="G82" s="165" t="s">
        <v>8</v>
      </c>
      <c r="H82" s="165">
        <f t="shared" ref="H82:H145" si="7">IF(G82="IN",H81+F82,H81)</f>
        <v>2044.7739999999997</v>
      </c>
      <c r="I82" s="165">
        <f t="shared" si="6"/>
        <v>9774.4060000000009</v>
      </c>
      <c r="J82" s="177">
        <f t="shared" si="5"/>
        <v>171.39143432543926</v>
      </c>
      <c r="K82" s="518"/>
      <c r="L82" s="519"/>
      <c r="M82" s="14"/>
    </row>
    <row r="83" spans="1:13" s="10" customFormat="1" ht="12.95" customHeight="1">
      <c r="A83" s="298">
        <v>61</v>
      </c>
      <c r="B83" s="492" t="s">
        <v>152</v>
      </c>
      <c r="C83" s="493"/>
      <c r="D83" s="300">
        <f t="shared" si="4"/>
        <v>310</v>
      </c>
      <c r="E83" s="197">
        <v>33.42</v>
      </c>
      <c r="F83" s="165">
        <f t="shared" si="3"/>
        <v>33.021999999999998</v>
      </c>
      <c r="G83" s="165" t="s">
        <v>8</v>
      </c>
      <c r="H83" s="165">
        <f t="shared" si="7"/>
        <v>2077.7959999999998</v>
      </c>
      <c r="I83" s="165">
        <f t="shared" si="6"/>
        <v>9741.384</v>
      </c>
      <c r="J83" s="177">
        <f t="shared" si="5"/>
        <v>172.10833210695188</v>
      </c>
      <c r="K83" s="518"/>
      <c r="L83" s="519"/>
    </row>
    <row r="84" spans="1:13" s="10" customFormat="1" ht="12.95" customHeight="1">
      <c r="A84" s="298">
        <v>62</v>
      </c>
      <c r="B84" s="492" t="s">
        <v>152</v>
      </c>
      <c r="C84" s="493"/>
      <c r="D84" s="300">
        <f t="shared" si="4"/>
        <v>309</v>
      </c>
      <c r="E84" s="197">
        <v>33.340000000000003</v>
      </c>
      <c r="F84" s="165">
        <f t="shared" si="3"/>
        <v>32.942</v>
      </c>
      <c r="G84" s="165" t="s">
        <v>8</v>
      </c>
      <c r="H84" s="165">
        <f t="shared" si="7"/>
        <v>2110.7379999999998</v>
      </c>
      <c r="I84" s="165">
        <f t="shared" si="6"/>
        <v>9708.4420000000009</v>
      </c>
      <c r="J84" s="177">
        <f t="shared" si="5"/>
        <v>172.82349311229947</v>
      </c>
      <c r="K84" s="518"/>
      <c r="L84" s="519"/>
    </row>
    <row r="85" spans="1:13" s="10" customFormat="1" ht="12.95" customHeight="1">
      <c r="A85" s="298">
        <v>63</v>
      </c>
      <c r="B85" s="492" t="s">
        <v>152</v>
      </c>
      <c r="C85" s="493"/>
      <c r="D85" s="300">
        <f t="shared" si="4"/>
        <v>308</v>
      </c>
      <c r="E85" s="197">
        <v>33.22</v>
      </c>
      <c r="F85" s="165">
        <f t="shared" si="3"/>
        <v>32.821999999999996</v>
      </c>
      <c r="G85" s="165" t="s">
        <v>8</v>
      </c>
      <c r="H85" s="165">
        <f t="shared" si="7"/>
        <v>2143.56</v>
      </c>
      <c r="I85" s="165">
        <f t="shared" si="6"/>
        <v>9675.6200000000008</v>
      </c>
      <c r="J85" s="177">
        <f t="shared" si="5"/>
        <v>173.53604895339953</v>
      </c>
      <c r="K85" s="518"/>
      <c r="L85" s="519"/>
    </row>
    <row r="86" spans="1:13" s="10" customFormat="1" ht="12.95" customHeight="1">
      <c r="A86" s="298">
        <v>64</v>
      </c>
      <c r="B86" s="492" t="s">
        <v>152</v>
      </c>
      <c r="C86" s="493"/>
      <c r="D86" s="300">
        <f t="shared" si="4"/>
        <v>307</v>
      </c>
      <c r="E86" s="197">
        <v>33.549999999999997</v>
      </c>
      <c r="F86" s="165">
        <f t="shared" si="3"/>
        <v>33.151999999999994</v>
      </c>
      <c r="G86" s="165" t="s">
        <v>8</v>
      </c>
      <c r="H86" s="165">
        <f t="shared" si="7"/>
        <v>2176.712</v>
      </c>
      <c r="I86" s="165">
        <f t="shared" si="6"/>
        <v>9642.4680000000008</v>
      </c>
      <c r="J86" s="177">
        <f t="shared" si="5"/>
        <v>174.25576899618028</v>
      </c>
      <c r="K86" s="518"/>
      <c r="L86" s="519"/>
    </row>
    <row r="87" spans="1:13" s="10" customFormat="1" ht="12.95" customHeight="1">
      <c r="A87" s="298">
        <v>65</v>
      </c>
      <c r="B87" s="492" t="s">
        <v>152</v>
      </c>
      <c r="C87" s="493"/>
      <c r="D87" s="300">
        <f t="shared" si="4"/>
        <v>306</v>
      </c>
      <c r="E87" s="197">
        <v>33.159999999999997</v>
      </c>
      <c r="F87" s="165">
        <f t="shared" ref="F87:F150" si="8">E87-($C$10)</f>
        <v>32.761999999999993</v>
      </c>
      <c r="G87" s="165" t="s">
        <v>8</v>
      </c>
      <c r="H87" s="165">
        <f t="shared" si="7"/>
        <v>2209.4740000000002</v>
      </c>
      <c r="I87" s="165">
        <f t="shared" si="6"/>
        <v>9609.7060000000001</v>
      </c>
      <c r="J87" s="177">
        <f t="shared" si="5"/>
        <v>174.96702225515662</v>
      </c>
      <c r="K87" s="518"/>
      <c r="L87" s="519"/>
    </row>
    <row r="88" spans="1:13" s="10" customFormat="1" ht="12.95" customHeight="1">
      <c r="A88" s="298">
        <v>66</v>
      </c>
      <c r="B88" s="492" t="s">
        <v>152</v>
      </c>
      <c r="C88" s="493"/>
      <c r="D88" s="300">
        <f t="shared" si="4"/>
        <v>305</v>
      </c>
      <c r="E88" s="197">
        <v>33.17</v>
      </c>
      <c r="F88" s="165">
        <f t="shared" si="8"/>
        <v>32.771999999999998</v>
      </c>
      <c r="G88" s="165" t="s">
        <v>8</v>
      </c>
      <c r="H88" s="165">
        <f t="shared" si="7"/>
        <v>2242.2460000000001</v>
      </c>
      <c r="I88" s="165">
        <f t="shared" si="6"/>
        <v>9576.9340000000011</v>
      </c>
      <c r="J88" s="177">
        <f t="shared" si="5"/>
        <v>175.67849261115356</v>
      </c>
      <c r="K88" s="518"/>
      <c r="L88" s="519"/>
    </row>
    <row r="89" spans="1:13" s="10" customFormat="1" ht="12.95" customHeight="1">
      <c r="A89" s="298">
        <v>67</v>
      </c>
      <c r="B89" s="492" t="s">
        <v>152</v>
      </c>
      <c r="C89" s="493"/>
      <c r="D89" s="300">
        <f t="shared" ref="D89:D152" si="9">D88-1</f>
        <v>304</v>
      </c>
      <c r="E89" s="197">
        <v>33.380000000000003</v>
      </c>
      <c r="F89" s="165">
        <f t="shared" si="8"/>
        <v>32.981999999999999</v>
      </c>
      <c r="G89" s="165" t="s">
        <v>8</v>
      </c>
      <c r="H89" s="165">
        <f t="shared" si="7"/>
        <v>2275.2280000000001</v>
      </c>
      <c r="I89" s="165">
        <f t="shared" si="6"/>
        <v>9543.9520000000011</v>
      </c>
      <c r="J89" s="177">
        <f t="shared" si="5"/>
        <v>176.39452200458365</v>
      </c>
      <c r="K89" s="518"/>
      <c r="L89" s="519"/>
    </row>
    <row r="90" spans="1:13" s="10" customFormat="1">
      <c r="A90" s="298">
        <v>68</v>
      </c>
      <c r="B90" s="492" t="s">
        <v>152</v>
      </c>
      <c r="C90" s="493"/>
      <c r="D90" s="300">
        <f t="shared" si="9"/>
        <v>303</v>
      </c>
      <c r="E90" s="197">
        <v>33.090000000000003</v>
      </c>
      <c r="F90" s="165">
        <f t="shared" si="8"/>
        <v>32.692</v>
      </c>
      <c r="G90" s="165" t="s">
        <v>8</v>
      </c>
      <c r="H90" s="165">
        <f t="shared" si="7"/>
        <v>2307.92</v>
      </c>
      <c r="I90" s="165">
        <f t="shared" si="6"/>
        <v>9511.26</v>
      </c>
      <c r="J90" s="177">
        <f t="shared" si="5"/>
        <v>177.1042555844156</v>
      </c>
      <c r="K90" s="518"/>
      <c r="L90" s="519"/>
    </row>
    <row r="91" spans="1:13" s="10" customFormat="1" ht="12.95" customHeight="1">
      <c r="A91" s="298">
        <v>69</v>
      </c>
      <c r="B91" s="492" t="s">
        <v>152</v>
      </c>
      <c r="C91" s="493"/>
      <c r="D91" s="300">
        <f t="shared" si="9"/>
        <v>302</v>
      </c>
      <c r="E91" s="197">
        <v>33</v>
      </c>
      <c r="F91" s="165">
        <f t="shared" si="8"/>
        <v>32.601999999999997</v>
      </c>
      <c r="G91" s="165" t="s">
        <v>8</v>
      </c>
      <c r="H91" s="165">
        <f t="shared" si="7"/>
        <v>2340.5219999999999</v>
      </c>
      <c r="I91" s="165">
        <f t="shared" si="6"/>
        <v>9478.6579999999994</v>
      </c>
      <c r="J91" s="177">
        <f t="shared" si="5"/>
        <v>177.81203529106187</v>
      </c>
      <c r="K91" s="518"/>
      <c r="L91" s="519"/>
      <c r="M91" s="14"/>
    </row>
    <row r="92" spans="1:13" s="10" customFormat="1" ht="12.95" customHeight="1">
      <c r="A92" s="298">
        <v>70</v>
      </c>
      <c r="B92" s="492" t="s">
        <v>152</v>
      </c>
      <c r="C92" s="493"/>
      <c r="D92" s="300">
        <f t="shared" si="9"/>
        <v>301</v>
      </c>
      <c r="E92" s="197">
        <v>33.11</v>
      </c>
      <c r="F92" s="165">
        <f t="shared" si="8"/>
        <v>32.711999999999996</v>
      </c>
      <c r="G92" s="165" t="s">
        <v>8</v>
      </c>
      <c r="H92" s="165">
        <f t="shared" si="7"/>
        <v>2373.2339999999999</v>
      </c>
      <c r="I92" s="165">
        <f t="shared" si="6"/>
        <v>9445.9459999999999</v>
      </c>
      <c r="J92" s="177">
        <f t="shared" si="5"/>
        <v>178.52220306493507</v>
      </c>
      <c r="K92" s="518"/>
      <c r="L92" s="519"/>
    </row>
    <row r="93" spans="1:13" s="10" customFormat="1" ht="12.95" customHeight="1">
      <c r="A93" s="298">
        <v>71</v>
      </c>
      <c r="B93" s="492" t="s">
        <v>152</v>
      </c>
      <c r="C93" s="493"/>
      <c r="D93" s="300">
        <f t="shared" si="9"/>
        <v>300</v>
      </c>
      <c r="E93" s="197">
        <v>33.15</v>
      </c>
      <c r="F93" s="164">
        <f t="shared" si="8"/>
        <v>32.751999999999995</v>
      </c>
      <c r="G93" s="165" t="s">
        <v>8</v>
      </c>
      <c r="H93" s="165">
        <f t="shared" si="7"/>
        <v>2405.9859999999999</v>
      </c>
      <c r="I93" s="165">
        <f t="shared" si="6"/>
        <v>9413.1939999999995</v>
      </c>
      <c r="J93" s="177">
        <f t="shared" si="5"/>
        <v>179.23323922689076</v>
      </c>
      <c r="K93" s="518"/>
      <c r="L93" s="519"/>
    </row>
    <row r="94" spans="1:13" s="10" customFormat="1" ht="12.95" customHeight="1">
      <c r="A94" s="298">
        <v>72</v>
      </c>
      <c r="B94" s="492" t="s">
        <v>152</v>
      </c>
      <c r="C94" s="493"/>
      <c r="D94" s="300">
        <f t="shared" si="9"/>
        <v>299</v>
      </c>
      <c r="E94" s="197">
        <v>31.95</v>
      </c>
      <c r="F94" s="164">
        <f t="shared" si="8"/>
        <v>31.552</v>
      </c>
      <c r="G94" s="165" t="s">
        <v>8</v>
      </c>
      <c r="H94" s="164">
        <f t="shared" si="7"/>
        <v>2437.538</v>
      </c>
      <c r="I94" s="165">
        <f t="shared" si="6"/>
        <v>9381.6419999999998</v>
      </c>
      <c r="J94" s="177">
        <f t="shared" si="5"/>
        <v>179.91822374637127</v>
      </c>
      <c r="K94" s="518"/>
      <c r="L94" s="519"/>
    </row>
    <row r="95" spans="1:13" s="10" customFormat="1" ht="12.95" customHeight="1">
      <c r="A95" s="298">
        <v>73</v>
      </c>
      <c r="B95" s="492" t="s">
        <v>152</v>
      </c>
      <c r="C95" s="493"/>
      <c r="D95" s="300">
        <f t="shared" si="9"/>
        <v>298</v>
      </c>
      <c r="E95" s="197">
        <v>32.94</v>
      </c>
      <c r="F95" s="164">
        <f t="shared" si="8"/>
        <v>32.541999999999994</v>
      </c>
      <c r="G95" s="165" t="s">
        <v>8</v>
      </c>
      <c r="H95" s="164">
        <f t="shared" si="7"/>
        <v>2470.08</v>
      </c>
      <c r="I95" s="165">
        <f t="shared" si="6"/>
        <v>9349.1</v>
      </c>
      <c r="J95" s="177">
        <f t="shared" si="5"/>
        <v>180.62470087089383</v>
      </c>
      <c r="K95" s="518"/>
      <c r="L95" s="519"/>
    </row>
    <row r="96" spans="1:13" s="10" customFormat="1">
      <c r="A96" s="298">
        <v>74</v>
      </c>
      <c r="B96" s="492" t="s">
        <v>152</v>
      </c>
      <c r="C96" s="493"/>
      <c r="D96" s="300">
        <f t="shared" si="9"/>
        <v>297</v>
      </c>
      <c r="E96" s="197">
        <v>33.770000000000003</v>
      </c>
      <c r="F96" s="164">
        <f t="shared" si="8"/>
        <v>33.372</v>
      </c>
      <c r="G96" s="165" t="s">
        <v>8</v>
      </c>
      <c r="H96" s="164">
        <f t="shared" si="7"/>
        <v>2503.4519999999998</v>
      </c>
      <c r="I96" s="165">
        <f t="shared" si="6"/>
        <v>9315.728000000001</v>
      </c>
      <c r="J96" s="177">
        <f t="shared" si="5"/>
        <v>181.34919704812836</v>
      </c>
      <c r="K96" s="518"/>
      <c r="L96" s="519"/>
      <c r="M96" s="14"/>
    </row>
    <row r="97" spans="1:13" s="10" customFormat="1">
      <c r="A97" s="298">
        <v>75</v>
      </c>
      <c r="B97" s="492" t="s">
        <v>152</v>
      </c>
      <c r="C97" s="493"/>
      <c r="D97" s="300">
        <f t="shared" si="9"/>
        <v>296</v>
      </c>
      <c r="E97" s="197">
        <v>33.700000000000003</v>
      </c>
      <c r="F97" s="164">
        <f t="shared" si="8"/>
        <v>33.302</v>
      </c>
      <c r="G97" s="165" t="s">
        <v>8</v>
      </c>
      <c r="H97" s="164">
        <f t="shared" si="7"/>
        <v>2536.7539999999999</v>
      </c>
      <c r="I97" s="165">
        <f t="shared" si="6"/>
        <v>9282.4259999999995</v>
      </c>
      <c r="J97" s="177">
        <f t="shared" si="5"/>
        <v>182.07217354621849</v>
      </c>
      <c r="K97" s="518"/>
      <c r="L97" s="519"/>
    </row>
    <row r="98" spans="1:13" s="10" customFormat="1">
      <c r="A98" s="298">
        <v>76</v>
      </c>
      <c r="B98" s="492" t="s">
        <v>152</v>
      </c>
      <c r="C98" s="493"/>
      <c r="D98" s="300">
        <f t="shared" si="9"/>
        <v>295</v>
      </c>
      <c r="E98" s="197">
        <v>33.43</v>
      </c>
      <c r="F98" s="164">
        <f t="shared" si="8"/>
        <v>33.031999999999996</v>
      </c>
      <c r="G98" s="165" t="s">
        <v>8</v>
      </c>
      <c r="H98" s="164">
        <f t="shared" si="7"/>
        <v>2569.7860000000001</v>
      </c>
      <c r="I98" s="165">
        <f t="shared" si="6"/>
        <v>9249.3940000000002</v>
      </c>
      <c r="J98" s="177">
        <f t="shared" si="5"/>
        <v>182.78928842475173</v>
      </c>
      <c r="K98" s="518"/>
      <c r="L98" s="519"/>
    </row>
    <row r="99" spans="1:13" s="10" customFormat="1">
      <c r="A99" s="298">
        <v>77</v>
      </c>
      <c r="B99" s="492" t="s">
        <v>152</v>
      </c>
      <c r="C99" s="493"/>
      <c r="D99" s="300">
        <f t="shared" si="9"/>
        <v>294</v>
      </c>
      <c r="E99" s="197">
        <v>33.5</v>
      </c>
      <c r="F99" s="164">
        <f t="shared" si="8"/>
        <v>33.101999999999997</v>
      </c>
      <c r="G99" s="165" t="s">
        <v>8</v>
      </c>
      <c r="H99" s="164">
        <f t="shared" si="7"/>
        <v>2602.8879999999999</v>
      </c>
      <c r="I99" s="165">
        <f t="shared" si="6"/>
        <v>9216.2920000000013</v>
      </c>
      <c r="J99" s="177">
        <f t="shared" si="5"/>
        <v>183.50792298242933</v>
      </c>
      <c r="K99" s="518"/>
      <c r="L99" s="519"/>
    </row>
    <row r="100" spans="1:13" s="10" customFormat="1">
      <c r="A100" s="298">
        <v>78</v>
      </c>
      <c r="B100" s="492" t="s">
        <v>152</v>
      </c>
      <c r="C100" s="493"/>
      <c r="D100" s="300">
        <f t="shared" si="9"/>
        <v>293</v>
      </c>
      <c r="E100" s="197">
        <v>33.28</v>
      </c>
      <c r="F100" s="164">
        <f t="shared" si="8"/>
        <v>32.881999999999998</v>
      </c>
      <c r="G100" s="165" t="s">
        <v>8</v>
      </c>
      <c r="H100" s="164">
        <f t="shared" si="7"/>
        <v>2635.77</v>
      </c>
      <c r="I100" s="165">
        <f t="shared" si="6"/>
        <v>9183.41</v>
      </c>
      <c r="J100" s="177">
        <f t="shared" si="5"/>
        <v>184.22178140565319</v>
      </c>
      <c r="K100" s="518"/>
      <c r="L100" s="519"/>
    </row>
    <row r="101" spans="1:13" s="10" customFormat="1">
      <c r="A101" s="298">
        <v>79</v>
      </c>
      <c r="B101" s="492" t="s">
        <v>152</v>
      </c>
      <c r="C101" s="493"/>
      <c r="D101" s="300">
        <f t="shared" si="9"/>
        <v>292</v>
      </c>
      <c r="E101" s="197">
        <v>33.35</v>
      </c>
      <c r="F101" s="164">
        <f t="shared" si="8"/>
        <v>32.951999999999998</v>
      </c>
      <c r="G101" s="165" t="s">
        <v>8</v>
      </c>
      <c r="H101" s="164">
        <f t="shared" si="7"/>
        <v>2668.7219999999998</v>
      </c>
      <c r="I101" s="165">
        <f t="shared" si="6"/>
        <v>9150.4580000000005</v>
      </c>
      <c r="J101" s="177">
        <f t="shared" si="5"/>
        <v>184.93715950802141</v>
      </c>
      <c r="K101" s="518"/>
      <c r="L101" s="519"/>
      <c r="M101" s="14"/>
    </row>
    <row r="102" spans="1:13" s="10" customFormat="1">
      <c r="A102" s="298">
        <v>80</v>
      </c>
      <c r="B102" s="492" t="s">
        <v>152</v>
      </c>
      <c r="C102" s="493"/>
      <c r="D102" s="300">
        <f t="shared" si="9"/>
        <v>291</v>
      </c>
      <c r="E102" s="197">
        <v>33.53</v>
      </c>
      <c r="F102" s="164">
        <f t="shared" si="8"/>
        <v>33.131999999999998</v>
      </c>
      <c r="G102" s="165" t="s">
        <v>8</v>
      </c>
      <c r="H102" s="164">
        <f t="shared" si="7"/>
        <v>2701.8539999999998</v>
      </c>
      <c r="I102" s="165">
        <f t="shared" si="6"/>
        <v>9117.3260000000009</v>
      </c>
      <c r="J102" s="177">
        <f t="shared" si="5"/>
        <v>185.65644535676091</v>
      </c>
      <c r="K102" s="518"/>
      <c r="L102" s="519"/>
    </row>
    <row r="103" spans="1:13" s="10" customFormat="1">
      <c r="A103" s="298">
        <v>81</v>
      </c>
      <c r="B103" s="492" t="s">
        <v>152</v>
      </c>
      <c r="C103" s="493"/>
      <c r="D103" s="300">
        <f t="shared" si="9"/>
        <v>290</v>
      </c>
      <c r="E103" s="197">
        <v>33.700000000000003</v>
      </c>
      <c r="F103" s="164">
        <f t="shared" si="8"/>
        <v>33.302</v>
      </c>
      <c r="G103" s="165" t="s">
        <v>8</v>
      </c>
      <c r="H103" s="164">
        <f t="shared" si="7"/>
        <v>2735.1559999999999</v>
      </c>
      <c r="I103" s="165">
        <f t="shared" si="6"/>
        <v>9084.0240000000013</v>
      </c>
      <c r="J103" s="177">
        <f t="shared" si="5"/>
        <v>186.37942185485105</v>
      </c>
      <c r="K103" s="518"/>
      <c r="L103" s="519"/>
    </row>
    <row r="104" spans="1:13" s="10" customFormat="1">
      <c r="A104" s="298">
        <v>82</v>
      </c>
      <c r="B104" s="492" t="s">
        <v>152</v>
      </c>
      <c r="C104" s="493"/>
      <c r="D104" s="300">
        <f t="shared" si="9"/>
        <v>289</v>
      </c>
      <c r="E104" s="197">
        <v>33.78</v>
      </c>
      <c r="F104" s="164">
        <f t="shared" si="8"/>
        <v>33.381999999999998</v>
      </c>
      <c r="G104" s="165" t="s">
        <v>8</v>
      </c>
      <c r="H104" s="164">
        <f t="shared" si="7"/>
        <v>2768.538</v>
      </c>
      <c r="I104" s="165">
        <f t="shared" si="6"/>
        <v>9050.6419999999998</v>
      </c>
      <c r="J104" s="177">
        <f t="shared" si="5"/>
        <v>187.1041351291062</v>
      </c>
      <c r="K104" s="518"/>
      <c r="L104" s="519"/>
    </row>
    <row r="105" spans="1:13" s="10" customFormat="1">
      <c r="A105" s="298">
        <v>83</v>
      </c>
      <c r="B105" s="492" t="s">
        <v>152</v>
      </c>
      <c r="C105" s="493"/>
      <c r="D105" s="300">
        <f t="shared" si="9"/>
        <v>288</v>
      </c>
      <c r="E105" s="197">
        <v>33.880000000000003</v>
      </c>
      <c r="F105" s="164">
        <f t="shared" si="8"/>
        <v>33.481999999999999</v>
      </c>
      <c r="G105" s="165" t="s">
        <v>8</v>
      </c>
      <c r="H105" s="164">
        <f t="shared" si="7"/>
        <v>2802.02</v>
      </c>
      <c r="I105" s="165">
        <f t="shared" si="6"/>
        <v>9017.16</v>
      </c>
      <c r="J105" s="177">
        <f t="shared" si="5"/>
        <v>187.83101937356761</v>
      </c>
      <c r="K105" s="518"/>
      <c r="L105" s="519"/>
    </row>
    <row r="106" spans="1:13" s="10" customFormat="1">
      <c r="A106" s="298">
        <v>84</v>
      </c>
      <c r="B106" s="492" t="s">
        <v>152</v>
      </c>
      <c r="C106" s="493"/>
      <c r="D106" s="300">
        <f t="shared" si="9"/>
        <v>287</v>
      </c>
      <c r="E106" s="197">
        <v>33.5</v>
      </c>
      <c r="F106" s="164">
        <f t="shared" si="8"/>
        <v>33.101999999999997</v>
      </c>
      <c r="G106" s="165" t="s">
        <v>8</v>
      </c>
      <c r="H106" s="164">
        <f t="shared" si="7"/>
        <v>2835.1219999999998</v>
      </c>
      <c r="I106" s="165">
        <f t="shared" si="6"/>
        <v>8984.0580000000009</v>
      </c>
      <c r="J106" s="177">
        <f t="shared" si="5"/>
        <v>188.54965393124522</v>
      </c>
      <c r="K106" s="518"/>
      <c r="L106" s="519"/>
    </row>
    <row r="107" spans="1:13" s="10" customFormat="1">
      <c r="A107" s="298">
        <v>85</v>
      </c>
      <c r="B107" s="492" t="s">
        <v>152</v>
      </c>
      <c r="C107" s="493"/>
      <c r="D107" s="300">
        <f t="shared" si="9"/>
        <v>286</v>
      </c>
      <c r="E107" s="197">
        <v>32.17</v>
      </c>
      <c r="F107" s="164">
        <f t="shared" si="8"/>
        <v>31.772000000000002</v>
      </c>
      <c r="G107" s="165" t="s">
        <v>8</v>
      </c>
      <c r="H107" s="164">
        <f t="shared" si="7"/>
        <v>2866.8939999999998</v>
      </c>
      <c r="I107" s="165">
        <f t="shared" si="6"/>
        <v>8952.2860000000001</v>
      </c>
      <c r="J107" s="177">
        <f t="shared" si="5"/>
        <v>189.23941458517953</v>
      </c>
      <c r="K107" s="518"/>
      <c r="L107" s="519"/>
    </row>
    <row r="108" spans="1:13" s="10" customFormat="1">
      <c r="A108" s="298">
        <v>86</v>
      </c>
      <c r="B108" s="492" t="s">
        <v>152</v>
      </c>
      <c r="C108" s="493"/>
      <c r="D108" s="300">
        <f t="shared" si="9"/>
        <v>285</v>
      </c>
      <c r="E108" s="197">
        <v>33.31</v>
      </c>
      <c r="F108" s="164">
        <f t="shared" si="8"/>
        <v>32.911999999999999</v>
      </c>
      <c r="G108" s="165" t="s">
        <v>8</v>
      </c>
      <c r="H108" s="164">
        <f t="shared" si="7"/>
        <v>2899.8059999999996</v>
      </c>
      <c r="I108" s="165">
        <f t="shared" si="6"/>
        <v>8919.3739999999998</v>
      </c>
      <c r="J108" s="177">
        <f t="shared" si="5"/>
        <v>189.95392429946523</v>
      </c>
      <c r="K108" s="518"/>
      <c r="L108" s="519"/>
    </row>
    <row r="109" spans="1:13" s="10" customFormat="1">
      <c r="A109" s="298">
        <v>87</v>
      </c>
      <c r="B109" s="492" t="s">
        <v>152</v>
      </c>
      <c r="C109" s="493"/>
      <c r="D109" s="300">
        <f t="shared" si="9"/>
        <v>284</v>
      </c>
      <c r="E109" s="197">
        <v>33.24</v>
      </c>
      <c r="F109" s="164">
        <f t="shared" si="8"/>
        <v>32.841999999999999</v>
      </c>
      <c r="G109" s="165" t="s">
        <v>8</v>
      </c>
      <c r="H109" s="164">
        <f t="shared" si="7"/>
        <v>2932.6479999999997</v>
      </c>
      <c r="I109" s="165">
        <f t="shared" si="6"/>
        <v>8886.5320000000011</v>
      </c>
      <c r="J109" s="177">
        <f t="shared" si="5"/>
        <v>190.66691433460659</v>
      </c>
      <c r="K109" s="518"/>
      <c r="L109" s="519"/>
    </row>
    <row r="110" spans="1:13" s="10" customFormat="1" ht="12.95" customHeight="1">
      <c r="A110" s="298">
        <v>88</v>
      </c>
      <c r="B110" s="492" t="s">
        <v>152</v>
      </c>
      <c r="C110" s="493"/>
      <c r="D110" s="300">
        <f t="shared" si="9"/>
        <v>283</v>
      </c>
      <c r="E110" s="197">
        <v>33.93</v>
      </c>
      <c r="F110" s="165">
        <f t="shared" si="8"/>
        <v>33.531999999999996</v>
      </c>
      <c r="G110" s="165" t="s">
        <v>8</v>
      </c>
      <c r="H110" s="164">
        <f t="shared" si="7"/>
        <v>2966.18</v>
      </c>
      <c r="I110" s="165">
        <f t="shared" si="6"/>
        <v>8853</v>
      </c>
      <c r="J110" s="177">
        <f t="shared" si="5"/>
        <v>191.39488406417112</v>
      </c>
      <c r="K110" s="518"/>
      <c r="L110" s="519"/>
    </row>
    <row r="111" spans="1:13" s="10" customFormat="1" ht="12.95" customHeight="1">
      <c r="A111" s="298">
        <v>89</v>
      </c>
      <c r="B111" s="492" t="s">
        <v>152</v>
      </c>
      <c r="C111" s="493"/>
      <c r="D111" s="300">
        <f t="shared" si="9"/>
        <v>282</v>
      </c>
      <c r="E111" s="197">
        <v>33.020000000000003</v>
      </c>
      <c r="F111" s="165">
        <f t="shared" si="8"/>
        <v>32.622</v>
      </c>
      <c r="G111" s="165" t="s">
        <v>8</v>
      </c>
      <c r="H111" s="165">
        <f t="shared" si="7"/>
        <v>2998.8019999999997</v>
      </c>
      <c r="I111" s="165">
        <f t="shared" si="6"/>
        <v>8820.3780000000006</v>
      </c>
      <c r="J111" s="177">
        <f t="shared" si="5"/>
        <v>192.10309796485865</v>
      </c>
      <c r="K111" s="518"/>
      <c r="L111" s="519"/>
    </row>
    <row r="112" spans="1:13" s="10" customFormat="1" ht="12.95" customHeight="1">
      <c r="A112" s="298">
        <v>90</v>
      </c>
      <c r="B112" s="492" t="s">
        <v>152</v>
      </c>
      <c r="C112" s="493"/>
      <c r="D112" s="300">
        <f t="shared" si="9"/>
        <v>281</v>
      </c>
      <c r="E112" s="197">
        <v>33.42</v>
      </c>
      <c r="F112" s="165">
        <f t="shared" si="8"/>
        <v>33.021999999999998</v>
      </c>
      <c r="G112" s="165" t="s">
        <v>8</v>
      </c>
      <c r="H112" s="165">
        <f t="shared" si="7"/>
        <v>3031.8239999999996</v>
      </c>
      <c r="I112" s="165">
        <f t="shared" si="6"/>
        <v>8787.3559999999998</v>
      </c>
      <c r="J112" s="177">
        <f t="shared" si="5"/>
        <v>192.81999574637126</v>
      </c>
      <c r="K112" s="518"/>
      <c r="L112" s="519"/>
    </row>
    <row r="113" spans="1:13" s="10" customFormat="1" ht="12.95" customHeight="1">
      <c r="A113" s="298">
        <v>91</v>
      </c>
      <c r="B113" s="492" t="s">
        <v>152</v>
      </c>
      <c r="C113" s="493"/>
      <c r="D113" s="300">
        <f t="shared" si="9"/>
        <v>280</v>
      </c>
      <c r="E113" s="197">
        <v>33.69</v>
      </c>
      <c r="F113" s="165">
        <f t="shared" si="8"/>
        <v>33.291999999999994</v>
      </c>
      <c r="G113" s="165" t="s">
        <v>8</v>
      </c>
      <c r="H113" s="165">
        <f t="shared" si="7"/>
        <v>3065.1159999999995</v>
      </c>
      <c r="I113" s="165">
        <f t="shared" si="6"/>
        <v>8754.0640000000003</v>
      </c>
      <c r="J113" s="177">
        <f t="shared" si="5"/>
        <v>193.5427551474408</v>
      </c>
      <c r="K113" s="518"/>
      <c r="L113" s="519"/>
      <c r="M113" s="14"/>
    </row>
    <row r="114" spans="1:13" s="10" customFormat="1" ht="12.95" customHeight="1">
      <c r="A114" s="298">
        <v>92</v>
      </c>
      <c r="B114" s="492" t="s">
        <v>152</v>
      </c>
      <c r="C114" s="493"/>
      <c r="D114" s="300">
        <f t="shared" si="9"/>
        <v>279</v>
      </c>
      <c r="E114" s="197">
        <v>33.61</v>
      </c>
      <c r="F114" s="165">
        <f t="shared" si="8"/>
        <v>33.211999999999996</v>
      </c>
      <c r="G114" s="165" t="s">
        <v>8</v>
      </c>
      <c r="H114" s="165">
        <f t="shared" si="7"/>
        <v>3098.3279999999995</v>
      </c>
      <c r="I114" s="165">
        <f t="shared" si="6"/>
        <v>8720.8520000000008</v>
      </c>
      <c r="J114" s="177">
        <f t="shared" si="5"/>
        <v>194.26377777234529</v>
      </c>
      <c r="K114" s="518"/>
      <c r="L114" s="519"/>
    </row>
    <row r="115" spans="1:13" s="10" customFormat="1" ht="12.95" customHeight="1">
      <c r="A115" s="298">
        <v>93</v>
      </c>
      <c r="B115" s="492" t="s">
        <v>152</v>
      </c>
      <c r="C115" s="493"/>
      <c r="D115" s="300">
        <f t="shared" si="9"/>
        <v>278</v>
      </c>
      <c r="E115" s="197">
        <v>33.79</v>
      </c>
      <c r="F115" s="164">
        <f t="shared" si="8"/>
        <v>33.391999999999996</v>
      </c>
      <c r="G115" s="165" t="s">
        <v>8</v>
      </c>
      <c r="H115" s="165">
        <f t="shared" si="7"/>
        <v>3131.7199999999993</v>
      </c>
      <c r="I115" s="165">
        <f t="shared" si="6"/>
        <v>8687.4600000000009</v>
      </c>
      <c r="J115" s="177">
        <f t="shared" si="5"/>
        <v>194.98870814362107</v>
      </c>
      <c r="K115" s="518"/>
      <c r="L115" s="519"/>
    </row>
    <row r="116" spans="1:13" s="10" customFormat="1" ht="12.95" customHeight="1">
      <c r="A116" s="298">
        <v>94</v>
      </c>
      <c r="B116" s="492" t="s">
        <v>152</v>
      </c>
      <c r="C116" s="493"/>
      <c r="D116" s="300">
        <f t="shared" si="9"/>
        <v>277</v>
      </c>
      <c r="E116" s="197">
        <v>33.32</v>
      </c>
      <c r="F116" s="164">
        <f t="shared" si="8"/>
        <v>32.921999999999997</v>
      </c>
      <c r="G116" s="165" t="s">
        <v>8</v>
      </c>
      <c r="H116" s="165">
        <f t="shared" si="7"/>
        <v>3164.6419999999994</v>
      </c>
      <c r="I116" s="165">
        <f t="shared" si="6"/>
        <v>8654.5380000000005</v>
      </c>
      <c r="J116" s="177">
        <f t="shared" si="5"/>
        <v>195.70343495492742</v>
      </c>
      <c r="K116" s="518"/>
      <c r="L116" s="519"/>
    </row>
    <row r="117" spans="1:13" s="10" customFormat="1" ht="12.95" customHeight="1">
      <c r="A117" s="298">
        <v>95</v>
      </c>
      <c r="B117" s="492" t="s">
        <v>152</v>
      </c>
      <c r="C117" s="493"/>
      <c r="D117" s="300">
        <f t="shared" si="9"/>
        <v>276</v>
      </c>
      <c r="E117" s="197">
        <v>33.64</v>
      </c>
      <c r="F117" s="164">
        <f t="shared" si="8"/>
        <v>33.241999999999997</v>
      </c>
      <c r="G117" s="165" t="s">
        <v>8</v>
      </c>
      <c r="H117" s="165">
        <f t="shared" si="7"/>
        <v>3197.8839999999996</v>
      </c>
      <c r="I117" s="165">
        <f t="shared" si="6"/>
        <v>8621.2960000000003</v>
      </c>
      <c r="J117" s="177">
        <f t="shared" si="5"/>
        <v>196.42510887089381</v>
      </c>
      <c r="K117" s="518"/>
      <c r="L117" s="519"/>
    </row>
    <row r="118" spans="1:13" s="10" customFormat="1">
      <c r="A118" s="298">
        <v>96</v>
      </c>
      <c r="B118" s="492" t="s">
        <v>152</v>
      </c>
      <c r="C118" s="493"/>
      <c r="D118" s="300">
        <f t="shared" si="9"/>
        <v>275</v>
      </c>
      <c r="E118" s="197">
        <v>33.18</v>
      </c>
      <c r="F118" s="164">
        <f t="shared" si="8"/>
        <v>32.781999999999996</v>
      </c>
      <c r="G118" s="165" t="s">
        <v>8</v>
      </c>
      <c r="H118" s="165">
        <f t="shared" si="7"/>
        <v>3230.6659999999997</v>
      </c>
      <c r="I118" s="165">
        <f t="shared" si="6"/>
        <v>8588.514000000001</v>
      </c>
      <c r="J118" s="177">
        <f t="shared" si="5"/>
        <v>197.13679632391137</v>
      </c>
      <c r="K118" s="518"/>
      <c r="L118" s="519"/>
      <c r="M118" s="14"/>
    </row>
    <row r="119" spans="1:13" s="10" customFormat="1">
      <c r="A119" s="298">
        <v>97</v>
      </c>
      <c r="B119" s="492" t="s">
        <v>152</v>
      </c>
      <c r="C119" s="493"/>
      <c r="D119" s="300">
        <f t="shared" si="9"/>
        <v>274</v>
      </c>
      <c r="E119" s="197">
        <v>32.92</v>
      </c>
      <c r="F119" s="164">
        <f t="shared" si="8"/>
        <v>32.521999999999998</v>
      </c>
      <c r="G119" s="165" t="s">
        <v>8</v>
      </c>
      <c r="H119" s="164">
        <f t="shared" si="7"/>
        <v>3263.1879999999996</v>
      </c>
      <c r="I119" s="165">
        <f t="shared" si="6"/>
        <v>8555.9920000000002</v>
      </c>
      <c r="J119" s="177">
        <f t="shared" si="5"/>
        <v>197.84283925439269</v>
      </c>
      <c r="K119" s="518"/>
      <c r="L119" s="519"/>
    </row>
    <row r="120" spans="1:13" s="10" customFormat="1">
      <c r="A120" s="298">
        <v>98</v>
      </c>
      <c r="B120" s="492" t="s">
        <v>152</v>
      </c>
      <c r="C120" s="493"/>
      <c r="D120" s="300">
        <f t="shared" si="9"/>
        <v>273</v>
      </c>
      <c r="E120" s="197">
        <v>33.83</v>
      </c>
      <c r="F120" s="164">
        <f t="shared" si="8"/>
        <v>33.431999999999995</v>
      </c>
      <c r="G120" s="165" t="s">
        <v>8</v>
      </c>
      <c r="H120" s="164">
        <f t="shared" si="7"/>
        <v>3296.6199999999994</v>
      </c>
      <c r="I120" s="165">
        <f t="shared" si="6"/>
        <v>8522.5600000000013</v>
      </c>
      <c r="J120" s="177">
        <f t="shared" si="5"/>
        <v>198.56863801375096</v>
      </c>
      <c r="K120" s="518"/>
      <c r="L120" s="519"/>
    </row>
    <row r="121" spans="1:13" s="10" customFormat="1">
      <c r="A121" s="298">
        <v>99</v>
      </c>
      <c r="B121" s="492" t="s">
        <v>152</v>
      </c>
      <c r="C121" s="493"/>
      <c r="D121" s="300">
        <f t="shared" si="9"/>
        <v>272</v>
      </c>
      <c r="E121" s="197">
        <v>33.65</v>
      </c>
      <c r="F121" s="164">
        <f t="shared" si="8"/>
        <v>33.251999999999995</v>
      </c>
      <c r="G121" s="165" t="s">
        <v>8</v>
      </c>
      <c r="H121" s="164">
        <f t="shared" si="7"/>
        <v>3329.8719999999994</v>
      </c>
      <c r="I121" s="165">
        <f t="shared" si="6"/>
        <v>8489.3080000000009</v>
      </c>
      <c r="J121" s="177">
        <f t="shared" si="5"/>
        <v>199.29052902673797</v>
      </c>
      <c r="K121" s="518"/>
      <c r="L121" s="519"/>
    </row>
    <row r="122" spans="1:13" s="10" customFormat="1">
      <c r="A122" s="298">
        <v>100</v>
      </c>
      <c r="B122" s="492" t="s">
        <v>152</v>
      </c>
      <c r="C122" s="493"/>
      <c r="D122" s="300">
        <f t="shared" si="9"/>
        <v>271</v>
      </c>
      <c r="E122" s="197">
        <v>33.94</v>
      </c>
      <c r="F122" s="164">
        <f t="shared" si="8"/>
        <v>33.541999999999994</v>
      </c>
      <c r="G122" s="165" t="s">
        <v>8</v>
      </c>
      <c r="H122" s="164">
        <f t="shared" si="7"/>
        <v>3363.4139999999993</v>
      </c>
      <c r="I122" s="165">
        <f t="shared" si="6"/>
        <v>8455.7660000000014</v>
      </c>
      <c r="J122" s="177">
        <f t="shared" si="5"/>
        <v>200.01871585332316</v>
      </c>
      <c r="K122" s="518"/>
      <c r="L122" s="519"/>
    </row>
    <row r="123" spans="1:13" s="10" customFormat="1">
      <c r="A123" s="298">
        <v>101</v>
      </c>
      <c r="B123" s="492" t="s">
        <v>152</v>
      </c>
      <c r="C123" s="493"/>
      <c r="D123" s="300">
        <f t="shared" si="9"/>
        <v>270</v>
      </c>
      <c r="E123" s="197">
        <v>33.35</v>
      </c>
      <c r="F123" s="164">
        <f t="shared" si="8"/>
        <v>32.951999999999998</v>
      </c>
      <c r="G123" s="165" t="s">
        <v>8</v>
      </c>
      <c r="H123" s="164">
        <f t="shared" si="7"/>
        <v>3396.3659999999991</v>
      </c>
      <c r="I123" s="165">
        <f t="shared" si="6"/>
        <v>8422.8140000000021</v>
      </c>
      <c r="J123" s="177">
        <f t="shared" si="5"/>
        <v>200.73409395569135</v>
      </c>
      <c r="K123" s="518"/>
      <c r="L123" s="519"/>
      <c r="M123" s="14"/>
    </row>
    <row r="124" spans="1:13" s="10" customFormat="1">
      <c r="A124" s="298">
        <v>102</v>
      </c>
      <c r="B124" s="492" t="s">
        <v>152</v>
      </c>
      <c r="C124" s="493"/>
      <c r="D124" s="300">
        <f t="shared" si="9"/>
        <v>269</v>
      </c>
      <c r="E124" s="197">
        <v>33.19</v>
      </c>
      <c r="F124" s="164">
        <f t="shared" si="8"/>
        <v>32.791999999999994</v>
      </c>
      <c r="G124" s="165" t="s">
        <v>8</v>
      </c>
      <c r="H124" s="164">
        <f t="shared" si="7"/>
        <v>3429.157999999999</v>
      </c>
      <c r="I124" s="165">
        <f t="shared" si="6"/>
        <v>8390.0220000000008</v>
      </c>
      <c r="J124" s="177">
        <f t="shared" si="5"/>
        <v>201.44599850572956</v>
      </c>
      <c r="K124" s="518"/>
      <c r="L124" s="519"/>
    </row>
    <row r="125" spans="1:13" s="10" customFormat="1">
      <c r="A125" s="298">
        <v>103</v>
      </c>
      <c r="B125" s="492" t="s">
        <v>152</v>
      </c>
      <c r="C125" s="493"/>
      <c r="D125" s="300">
        <f t="shared" si="9"/>
        <v>268</v>
      </c>
      <c r="E125" s="197">
        <v>32.01</v>
      </c>
      <c r="F125" s="164">
        <f t="shared" si="8"/>
        <v>31.611999999999998</v>
      </c>
      <c r="G125" s="165" t="s">
        <v>8</v>
      </c>
      <c r="H125" s="164">
        <f t="shared" si="7"/>
        <v>3460.7699999999991</v>
      </c>
      <c r="I125" s="165">
        <f t="shared" si="6"/>
        <v>8358.4100000000017</v>
      </c>
      <c r="J125" s="177">
        <f t="shared" si="5"/>
        <v>202.13228560733381</v>
      </c>
      <c r="K125" s="518"/>
      <c r="L125" s="519"/>
    </row>
    <row r="126" spans="1:13" s="10" customFormat="1">
      <c r="A126" s="298">
        <v>104</v>
      </c>
      <c r="B126" s="492" t="s">
        <v>152</v>
      </c>
      <c r="C126" s="493"/>
      <c r="D126" s="300">
        <f t="shared" si="9"/>
        <v>267</v>
      </c>
      <c r="E126" s="197">
        <v>33.35</v>
      </c>
      <c r="F126" s="164">
        <f t="shared" si="8"/>
        <v>32.951999999999998</v>
      </c>
      <c r="G126" s="165" t="s">
        <v>8</v>
      </c>
      <c r="H126" s="164">
        <f t="shared" si="7"/>
        <v>3493.7219999999988</v>
      </c>
      <c r="I126" s="165">
        <f t="shared" si="6"/>
        <v>8325.4580000000024</v>
      </c>
      <c r="J126" s="177">
        <f t="shared" si="5"/>
        <v>202.84766370970203</v>
      </c>
      <c r="K126" s="518"/>
      <c r="L126" s="519"/>
    </row>
    <row r="127" spans="1:13" s="10" customFormat="1">
      <c r="A127" s="298">
        <v>105</v>
      </c>
      <c r="B127" s="492" t="s">
        <v>152</v>
      </c>
      <c r="C127" s="493"/>
      <c r="D127" s="300">
        <f t="shared" si="9"/>
        <v>266</v>
      </c>
      <c r="E127" s="197">
        <v>33.72</v>
      </c>
      <c r="F127" s="164">
        <f t="shared" si="8"/>
        <v>33.321999999999996</v>
      </c>
      <c r="G127" s="165" t="s">
        <v>8</v>
      </c>
      <c r="H127" s="164">
        <f t="shared" si="7"/>
        <v>3527.043999999999</v>
      </c>
      <c r="I127" s="165">
        <f t="shared" si="6"/>
        <v>8292.1360000000022</v>
      </c>
      <c r="J127" s="177">
        <f t="shared" si="5"/>
        <v>203.57107440183347</v>
      </c>
      <c r="K127" s="518"/>
      <c r="L127" s="519"/>
    </row>
    <row r="128" spans="1:13" s="10" customFormat="1">
      <c r="A128" s="298">
        <v>106</v>
      </c>
      <c r="B128" s="492" t="s">
        <v>152</v>
      </c>
      <c r="C128" s="493"/>
      <c r="D128" s="300">
        <f t="shared" si="9"/>
        <v>265</v>
      </c>
      <c r="E128" s="197">
        <v>33.61</v>
      </c>
      <c r="F128" s="164">
        <f t="shared" si="8"/>
        <v>33.211999999999996</v>
      </c>
      <c r="G128" s="165" t="s">
        <v>8</v>
      </c>
      <c r="H128" s="164">
        <f t="shared" si="7"/>
        <v>3560.2559999999989</v>
      </c>
      <c r="I128" s="165">
        <f t="shared" si="6"/>
        <v>8258.9240000000009</v>
      </c>
      <c r="J128" s="177">
        <f t="shared" si="5"/>
        <v>204.29209702673796</v>
      </c>
      <c r="K128" s="518"/>
      <c r="L128" s="519"/>
    </row>
    <row r="129" spans="1:13" s="10" customFormat="1">
      <c r="A129" s="298">
        <v>107</v>
      </c>
      <c r="B129" s="492" t="s">
        <v>152</v>
      </c>
      <c r="C129" s="493"/>
      <c r="D129" s="300">
        <f t="shared" si="9"/>
        <v>264</v>
      </c>
      <c r="E129" s="197">
        <v>33.42</v>
      </c>
      <c r="F129" s="164">
        <f t="shared" si="8"/>
        <v>33.021999999999998</v>
      </c>
      <c r="G129" s="165" t="s">
        <v>8</v>
      </c>
      <c r="H129" s="164">
        <f t="shared" si="7"/>
        <v>3593.2779999999989</v>
      </c>
      <c r="I129" s="165">
        <f t="shared" si="6"/>
        <v>8225.9020000000019</v>
      </c>
      <c r="J129" s="177">
        <f t="shared" si="5"/>
        <v>205.00899480825058</v>
      </c>
      <c r="K129" s="518"/>
      <c r="L129" s="519"/>
    </row>
    <row r="130" spans="1:13" s="10" customFormat="1">
      <c r="A130" s="298">
        <v>108</v>
      </c>
      <c r="B130" s="492" t="s">
        <v>152</v>
      </c>
      <c r="C130" s="493"/>
      <c r="D130" s="300">
        <f t="shared" si="9"/>
        <v>263</v>
      </c>
      <c r="E130" s="197">
        <v>33.78</v>
      </c>
      <c r="F130" s="164">
        <f t="shared" si="8"/>
        <v>33.381999999999998</v>
      </c>
      <c r="G130" s="165" t="s">
        <v>8</v>
      </c>
      <c r="H130" s="164">
        <f t="shared" si="7"/>
        <v>3626.6599999999989</v>
      </c>
      <c r="I130" s="165">
        <f t="shared" si="6"/>
        <v>8192.52</v>
      </c>
      <c r="J130" s="177">
        <f t="shared" si="5"/>
        <v>205.7337080825057</v>
      </c>
      <c r="K130" s="518"/>
      <c r="L130" s="519"/>
    </row>
    <row r="131" spans="1:13" s="10" customFormat="1" ht="12.95" customHeight="1">
      <c r="A131" s="298">
        <v>109</v>
      </c>
      <c r="B131" s="492" t="s">
        <v>152</v>
      </c>
      <c r="C131" s="493"/>
      <c r="D131" s="300">
        <f t="shared" si="9"/>
        <v>262</v>
      </c>
      <c r="E131" s="197">
        <v>33.56</v>
      </c>
      <c r="F131" s="164">
        <f t="shared" si="8"/>
        <v>33.161999999999999</v>
      </c>
      <c r="G131" s="165" t="s">
        <v>8</v>
      </c>
      <c r="H131" s="164">
        <f t="shared" si="7"/>
        <v>3659.8219999999988</v>
      </c>
      <c r="I131" s="165">
        <f t="shared" si="6"/>
        <v>8159.358000000002</v>
      </c>
      <c r="J131" s="177">
        <f t="shared" si="5"/>
        <v>206.4536452223071</v>
      </c>
      <c r="K131" s="518"/>
      <c r="L131" s="519"/>
    </row>
    <row r="132" spans="1:13" s="10" customFormat="1" ht="12.95" customHeight="1">
      <c r="A132" s="298">
        <v>110</v>
      </c>
      <c r="B132" s="492" t="s">
        <v>152</v>
      </c>
      <c r="C132" s="493"/>
      <c r="D132" s="300">
        <f t="shared" si="9"/>
        <v>261</v>
      </c>
      <c r="E132" s="197">
        <v>33.380000000000003</v>
      </c>
      <c r="F132" s="164">
        <f t="shared" si="8"/>
        <v>32.981999999999999</v>
      </c>
      <c r="G132" s="165" t="s">
        <v>8</v>
      </c>
      <c r="H132" s="164">
        <f t="shared" si="7"/>
        <v>3692.8039999999987</v>
      </c>
      <c r="I132" s="165">
        <f t="shared" si="6"/>
        <v>8126.376000000002</v>
      </c>
      <c r="J132" s="177">
        <f t="shared" si="5"/>
        <v>207.16967461573716</v>
      </c>
      <c r="K132" s="518"/>
      <c r="L132" s="519"/>
    </row>
    <row r="133" spans="1:13" s="10" customFormat="1">
      <c r="A133" s="298">
        <v>111</v>
      </c>
      <c r="B133" s="492" t="s">
        <v>152</v>
      </c>
      <c r="C133" s="493"/>
      <c r="D133" s="300">
        <f t="shared" si="9"/>
        <v>260</v>
      </c>
      <c r="E133" s="197">
        <v>32.92</v>
      </c>
      <c r="F133" s="164">
        <f t="shared" si="8"/>
        <v>32.521999999999998</v>
      </c>
      <c r="G133" s="165" t="s">
        <v>8</v>
      </c>
      <c r="H133" s="164">
        <f t="shared" si="7"/>
        <v>3725.3259999999987</v>
      </c>
      <c r="I133" s="165">
        <f t="shared" si="6"/>
        <v>8093.8540000000012</v>
      </c>
      <c r="J133" s="177">
        <f t="shared" si="5"/>
        <v>207.87571754621848</v>
      </c>
      <c r="K133" s="518"/>
      <c r="L133" s="519"/>
      <c r="M133" s="14"/>
    </row>
    <row r="134" spans="1:13" s="10" customFormat="1">
      <c r="A134" s="298">
        <v>112</v>
      </c>
      <c r="B134" s="492" t="s">
        <v>152</v>
      </c>
      <c r="C134" s="493"/>
      <c r="D134" s="300">
        <f t="shared" si="9"/>
        <v>259</v>
      </c>
      <c r="E134" s="197">
        <v>33.04</v>
      </c>
      <c r="F134" s="164">
        <f t="shared" si="8"/>
        <v>32.641999999999996</v>
      </c>
      <c r="G134" s="165" t="s">
        <v>8</v>
      </c>
      <c r="H134" s="164">
        <f t="shared" si="7"/>
        <v>3757.9679999999985</v>
      </c>
      <c r="I134" s="165">
        <f t="shared" si="6"/>
        <v>8061.2120000000014</v>
      </c>
      <c r="J134" s="177">
        <f t="shared" si="5"/>
        <v>208.58436564094725</v>
      </c>
      <c r="K134" s="518"/>
      <c r="L134" s="519"/>
    </row>
    <row r="135" spans="1:13" s="10" customFormat="1" ht="13.5" thickBot="1">
      <c r="A135" s="346">
        <v>113</v>
      </c>
      <c r="B135" s="532" t="s">
        <v>152</v>
      </c>
      <c r="C135" s="533"/>
      <c r="D135" s="302">
        <f t="shared" si="9"/>
        <v>258</v>
      </c>
      <c r="E135" s="226">
        <v>33.03</v>
      </c>
      <c r="F135" s="232">
        <f t="shared" si="8"/>
        <v>32.631999999999998</v>
      </c>
      <c r="G135" s="233" t="s">
        <v>8</v>
      </c>
      <c r="H135" s="232">
        <f t="shared" si="7"/>
        <v>3790.5999999999985</v>
      </c>
      <c r="I135" s="233">
        <f t="shared" si="6"/>
        <v>8028.5800000000017</v>
      </c>
      <c r="J135" s="277">
        <f t="shared" si="5"/>
        <v>209.29279663865543</v>
      </c>
      <c r="K135" s="534"/>
      <c r="L135" s="535"/>
    </row>
    <row r="136" spans="1:13" s="10" customFormat="1">
      <c r="A136" s="349">
        <v>114</v>
      </c>
      <c r="B136" s="522" t="s">
        <v>152</v>
      </c>
      <c r="C136" s="523"/>
      <c r="D136" s="350">
        <f t="shared" si="9"/>
        <v>257</v>
      </c>
      <c r="E136" s="351">
        <v>33.020000000000003</v>
      </c>
      <c r="F136" s="352">
        <f t="shared" si="8"/>
        <v>32.622</v>
      </c>
      <c r="G136" s="352" t="s">
        <v>10</v>
      </c>
      <c r="H136" s="352">
        <f t="shared" si="7"/>
        <v>3790.5999999999985</v>
      </c>
      <c r="I136" s="352">
        <f t="shared" si="6"/>
        <v>8028.5800000000017</v>
      </c>
      <c r="J136" s="353">
        <f t="shared" si="5"/>
        <v>209.29279663865543</v>
      </c>
      <c r="K136" s="524" t="s">
        <v>172</v>
      </c>
      <c r="L136" s="525"/>
    </row>
    <row r="137" spans="1:13" s="10" customFormat="1" ht="13.5" thickBot="1">
      <c r="A137" s="354">
        <v>115</v>
      </c>
      <c r="B137" s="526" t="s">
        <v>152</v>
      </c>
      <c r="C137" s="527"/>
      <c r="D137" s="355">
        <f t="shared" si="9"/>
        <v>256</v>
      </c>
      <c r="E137" s="356">
        <v>33.47</v>
      </c>
      <c r="F137" s="357">
        <f t="shared" si="8"/>
        <v>33.071999999999996</v>
      </c>
      <c r="G137" s="357" t="s">
        <v>10</v>
      </c>
      <c r="H137" s="357">
        <f t="shared" si="7"/>
        <v>3790.5999999999985</v>
      </c>
      <c r="I137" s="357">
        <f t="shared" si="6"/>
        <v>8028.5800000000017</v>
      </c>
      <c r="J137" s="358">
        <f t="shared" si="5"/>
        <v>209.29279663865543</v>
      </c>
      <c r="K137" s="528" t="s">
        <v>172</v>
      </c>
      <c r="L137" s="529"/>
    </row>
    <row r="138" spans="1:13" s="10" customFormat="1">
      <c r="A138" s="298">
        <v>116</v>
      </c>
      <c r="B138" s="530" t="s">
        <v>152</v>
      </c>
      <c r="C138" s="531"/>
      <c r="D138" s="301">
        <f t="shared" si="9"/>
        <v>255</v>
      </c>
      <c r="E138" s="347">
        <v>33.47</v>
      </c>
      <c r="F138" s="176">
        <f t="shared" si="8"/>
        <v>33.071999999999996</v>
      </c>
      <c r="G138" s="348" t="s">
        <v>8</v>
      </c>
      <c r="H138" s="176">
        <f t="shared" si="7"/>
        <v>3823.6719999999987</v>
      </c>
      <c r="I138" s="348">
        <f t="shared" si="6"/>
        <v>7995.5080000000016</v>
      </c>
      <c r="J138" s="177">
        <f t="shared" si="5"/>
        <v>210.01077990527119</v>
      </c>
      <c r="K138" s="516"/>
      <c r="L138" s="517"/>
      <c r="M138" s="14"/>
    </row>
    <row r="139" spans="1:13" s="10" customFormat="1">
      <c r="A139" s="298">
        <v>117</v>
      </c>
      <c r="B139" s="492" t="s">
        <v>152</v>
      </c>
      <c r="C139" s="493"/>
      <c r="D139" s="300">
        <f t="shared" si="9"/>
        <v>254</v>
      </c>
      <c r="E139" s="197">
        <v>33.51</v>
      </c>
      <c r="F139" s="164">
        <f t="shared" si="8"/>
        <v>33.111999999999995</v>
      </c>
      <c r="G139" s="165" t="s">
        <v>8</v>
      </c>
      <c r="H139" s="164">
        <f t="shared" si="7"/>
        <v>3856.7839999999987</v>
      </c>
      <c r="I139" s="165">
        <f t="shared" si="6"/>
        <v>7962.3960000000015</v>
      </c>
      <c r="J139" s="177">
        <f t="shared" si="5"/>
        <v>210.72963155996942</v>
      </c>
      <c r="K139" s="518"/>
      <c r="L139" s="519"/>
    </row>
    <row r="140" spans="1:13" s="10" customFormat="1">
      <c r="A140" s="298">
        <v>118</v>
      </c>
      <c r="B140" s="492" t="s">
        <v>152</v>
      </c>
      <c r="C140" s="493"/>
      <c r="D140" s="300">
        <f t="shared" si="9"/>
        <v>253</v>
      </c>
      <c r="E140" s="197">
        <v>33.659999999999997</v>
      </c>
      <c r="F140" s="164">
        <f t="shared" si="8"/>
        <v>33.261999999999993</v>
      </c>
      <c r="G140" s="165" t="s">
        <v>8</v>
      </c>
      <c r="H140" s="164">
        <f t="shared" si="7"/>
        <v>3890.0459999999989</v>
      </c>
      <c r="I140" s="165">
        <f t="shared" si="6"/>
        <v>7929.1340000000018</v>
      </c>
      <c r="J140" s="177">
        <f t="shared" si="5"/>
        <v>211.45173966997706</v>
      </c>
      <c r="K140" s="518"/>
      <c r="L140" s="519"/>
    </row>
    <row r="141" spans="1:13" s="10" customFormat="1">
      <c r="A141" s="298">
        <v>119</v>
      </c>
      <c r="B141" s="492" t="s">
        <v>152</v>
      </c>
      <c r="C141" s="493"/>
      <c r="D141" s="300">
        <f t="shared" si="9"/>
        <v>252</v>
      </c>
      <c r="E141" s="197">
        <v>33.54</v>
      </c>
      <c r="F141" s="164">
        <f t="shared" si="8"/>
        <v>33.141999999999996</v>
      </c>
      <c r="G141" s="165" t="s">
        <v>8</v>
      </c>
      <c r="H141" s="164">
        <f t="shared" si="7"/>
        <v>3923.1879999999987</v>
      </c>
      <c r="I141" s="165">
        <f t="shared" si="6"/>
        <v>7895.992000000002</v>
      </c>
      <c r="J141" s="177">
        <f t="shared" si="5"/>
        <v>212.17124261573719</v>
      </c>
      <c r="K141" s="518"/>
      <c r="L141" s="519"/>
    </row>
    <row r="142" spans="1:13" s="10" customFormat="1">
      <c r="A142" s="298">
        <v>120</v>
      </c>
      <c r="B142" s="492" t="s">
        <v>152</v>
      </c>
      <c r="C142" s="493"/>
      <c r="D142" s="300">
        <f t="shared" si="9"/>
        <v>251</v>
      </c>
      <c r="E142" s="197">
        <v>33.520000000000003</v>
      </c>
      <c r="F142" s="164">
        <f t="shared" si="8"/>
        <v>33.122</v>
      </c>
      <c r="G142" s="165" t="s">
        <v>8</v>
      </c>
      <c r="H142" s="164">
        <f t="shared" si="7"/>
        <v>3956.3099999999986</v>
      </c>
      <c r="I142" s="165">
        <f t="shared" si="6"/>
        <v>7862.8700000000017</v>
      </c>
      <c r="J142" s="177">
        <f t="shared" ref="J142:J205" si="10">$G$7+(H142*$C$8*$G$10/1000)</f>
        <v>212.89031136745606</v>
      </c>
      <c r="K142" s="518"/>
      <c r="L142" s="519"/>
    </row>
    <row r="143" spans="1:13" s="10" customFormat="1">
      <c r="A143" s="298">
        <v>121</v>
      </c>
      <c r="B143" s="492" t="s">
        <v>152</v>
      </c>
      <c r="C143" s="493"/>
      <c r="D143" s="300">
        <f t="shared" si="9"/>
        <v>250</v>
      </c>
      <c r="E143" s="197">
        <v>33.64</v>
      </c>
      <c r="F143" s="164">
        <f t="shared" si="8"/>
        <v>33.241999999999997</v>
      </c>
      <c r="G143" s="165" t="s">
        <v>8</v>
      </c>
      <c r="H143" s="164">
        <f t="shared" si="7"/>
        <v>3989.5519999999988</v>
      </c>
      <c r="I143" s="165">
        <f t="shared" ref="I143:I206" si="11">IF(H143="","",$K$6-H143)</f>
        <v>7829.6280000000015</v>
      </c>
      <c r="J143" s="177">
        <f t="shared" si="10"/>
        <v>213.61198528342243</v>
      </c>
      <c r="K143" s="518"/>
      <c r="L143" s="519"/>
    </row>
    <row r="144" spans="1:13" s="10" customFormat="1">
      <c r="A144" s="298">
        <v>122</v>
      </c>
      <c r="B144" s="492" t="s">
        <v>152</v>
      </c>
      <c r="C144" s="493"/>
      <c r="D144" s="300">
        <f t="shared" si="9"/>
        <v>249</v>
      </c>
      <c r="E144" s="197">
        <v>33.520000000000003</v>
      </c>
      <c r="F144" s="164">
        <f t="shared" si="8"/>
        <v>33.122</v>
      </c>
      <c r="G144" s="165" t="s">
        <v>8</v>
      </c>
      <c r="H144" s="164">
        <f t="shared" si="7"/>
        <v>4022.6739999999986</v>
      </c>
      <c r="I144" s="165">
        <f t="shared" si="11"/>
        <v>7796.5060000000012</v>
      </c>
      <c r="J144" s="177">
        <f t="shared" si="10"/>
        <v>214.33105403514131</v>
      </c>
      <c r="K144" s="518"/>
      <c r="L144" s="519"/>
    </row>
    <row r="145" spans="1:12">
      <c r="A145" s="298">
        <v>123</v>
      </c>
      <c r="B145" s="492" t="s">
        <v>152</v>
      </c>
      <c r="C145" s="493"/>
      <c r="D145" s="300">
        <f t="shared" si="9"/>
        <v>248</v>
      </c>
      <c r="E145" s="197">
        <v>33.19</v>
      </c>
      <c r="F145" s="164">
        <f t="shared" si="8"/>
        <v>32.791999999999994</v>
      </c>
      <c r="G145" s="165" t="s">
        <v>8</v>
      </c>
      <c r="H145" s="164">
        <f t="shared" si="7"/>
        <v>4055.4659999999985</v>
      </c>
      <c r="I145" s="165">
        <f t="shared" si="11"/>
        <v>7763.7140000000018</v>
      </c>
      <c r="J145" s="177">
        <f t="shared" si="10"/>
        <v>215.04295858517952</v>
      </c>
      <c r="K145" s="518"/>
      <c r="L145" s="519"/>
    </row>
    <row r="146" spans="1:12">
      <c r="A146" s="298">
        <v>124</v>
      </c>
      <c r="B146" s="492" t="s">
        <v>152</v>
      </c>
      <c r="C146" s="493"/>
      <c r="D146" s="300">
        <f t="shared" si="9"/>
        <v>247</v>
      </c>
      <c r="E146" s="197">
        <v>33.07</v>
      </c>
      <c r="F146" s="164">
        <f t="shared" si="8"/>
        <v>32.671999999999997</v>
      </c>
      <c r="G146" s="165" t="s">
        <v>8</v>
      </c>
      <c r="H146" s="164">
        <f t="shared" ref="H146:H209" si="12">IF(G146="IN",H145+F146,H145)</f>
        <v>4088.1379999999986</v>
      </c>
      <c r="I146" s="165">
        <f t="shared" si="11"/>
        <v>7731.0420000000013</v>
      </c>
      <c r="J146" s="177">
        <f t="shared" si="10"/>
        <v>215.75225797097016</v>
      </c>
      <c r="K146" s="518"/>
      <c r="L146" s="519"/>
    </row>
    <row r="147" spans="1:12">
      <c r="A147" s="298">
        <v>125</v>
      </c>
      <c r="B147" s="492" t="s">
        <v>152</v>
      </c>
      <c r="C147" s="493"/>
      <c r="D147" s="300">
        <f t="shared" si="9"/>
        <v>246</v>
      </c>
      <c r="E147" s="197">
        <v>33.69</v>
      </c>
      <c r="F147" s="164">
        <f t="shared" si="8"/>
        <v>33.291999999999994</v>
      </c>
      <c r="G147" s="165" t="s">
        <v>8</v>
      </c>
      <c r="H147" s="164">
        <f t="shared" si="12"/>
        <v>4121.4299999999985</v>
      </c>
      <c r="I147" s="165">
        <f t="shared" si="11"/>
        <v>7697.7500000000018</v>
      </c>
      <c r="J147" s="177">
        <f t="shared" si="10"/>
        <v>216.4750173720397</v>
      </c>
      <c r="K147" s="518"/>
      <c r="L147" s="519"/>
    </row>
    <row r="148" spans="1:12">
      <c r="A148" s="298">
        <v>126</v>
      </c>
      <c r="B148" s="492" t="s">
        <v>152</v>
      </c>
      <c r="C148" s="493"/>
      <c r="D148" s="300">
        <f t="shared" si="9"/>
        <v>245</v>
      </c>
      <c r="E148" s="197">
        <v>33.79</v>
      </c>
      <c r="F148" s="164">
        <f t="shared" si="8"/>
        <v>33.391999999999996</v>
      </c>
      <c r="G148" s="165" t="s">
        <v>8</v>
      </c>
      <c r="H148" s="164">
        <f t="shared" si="12"/>
        <v>4154.8219999999983</v>
      </c>
      <c r="I148" s="165">
        <f t="shared" si="11"/>
        <v>7664.358000000002</v>
      </c>
      <c r="J148" s="177">
        <f t="shared" si="10"/>
        <v>217.19994774331548</v>
      </c>
      <c r="K148" s="518"/>
      <c r="L148" s="519"/>
    </row>
    <row r="149" spans="1:12">
      <c r="A149" s="298">
        <v>127</v>
      </c>
      <c r="B149" s="492" t="s">
        <v>152</v>
      </c>
      <c r="C149" s="493"/>
      <c r="D149" s="300">
        <f t="shared" si="9"/>
        <v>244</v>
      </c>
      <c r="E149" s="197">
        <v>33.700000000000003</v>
      </c>
      <c r="F149" s="164">
        <f t="shared" si="8"/>
        <v>33.302</v>
      </c>
      <c r="G149" s="165" t="s">
        <v>8</v>
      </c>
      <c r="H149" s="164">
        <f t="shared" si="12"/>
        <v>4188.123999999998</v>
      </c>
      <c r="I149" s="165">
        <f t="shared" si="11"/>
        <v>7631.0560000000023</v>
      </c>
      <c r="J149" s="177">
        <f t="shared" si="10"/>
        <v>217.92292424140561</v>
      </c>
      <c r="K149" s="518"/>
      <c r="L149" s="519"/>
    </row>
    <row r="150" spans="1:12">
      <c r="A150" s="298">
        <v>128</v>
      </c>
      <c r="B150" s="492" t="s">
        <v>152</v>
      </c>
      <c r="C150" s="493"/>
      <c r="D150" s="300">
        <f t="shared" si="9"/>
        <v>243</v>
      </c>
      <c r="E150" s="197">
        <v>33.58</v>
      </c>
      <c r="F150" s="164">
        <f t="shared" si="8"/>
        <v>33.181999999999995</v>
      </c>
      <c r="G150" s="165" t="s">
        <v>8</v>
      </c>
      <c r="H150" s="164">
        <f t="shared" si="12"/>
        <v>4221.3059999999978</v>
      </c>
      <c r="I150" s="165">
        <f t="shared" si="11"/>
        <v>7597.8740000000025</v>
      </c>
      <c r="J150" s="177">
        <f t="shared" si="10"/>
        <v>218.64329557524826</v>
      </c>
      <c r="K150" s="518"/>
      <c r="L150" s="519"/>
    </row>
    <row r="151" spans="1:12">
      <c r="A151" s="298">
        <v>129</v>
      </c>
      <c r="B151" s="492" t="s">
        <v>152</v>
      </c>
      <c r="C151" s="493"/>
      <c r="D151" s="300">
        <f t="shared" si="9"/>
        <v>242</v>
      </c>
      <c r="E151" s="197">
        <v>33.25</v>
      </c>
      <c r="F151" s="164">
        <f t="shared" ref="F151:F214" si="13">E151-($C$10)</f>
        <v>32.851999999999997</v>
      </c>
      <c r="G151" s="165" t="s">
        <v>8</v>
      </c>
      <c r="H151" s="164">
        <f t="shared" si="12"/>
        <v>4254.1579999999976</v>
      </c>
      <c r="I151" s="165">
        <f t="shared" si="11"/>
        <v>7565.0220000000027</v>
      </c>
      <c r="J151" s="177">
        <f t="shared" si="10"/>
        <v>219.35650270741019</v>
      </c>
      <c r="K151" s="518"/>
      <c r="L151" s="519"/>
    </row>
    <row r="152" spans="1:12">
      <c r="A152" s="298">
        <v>130</v>
      </c>
      <c r="B152" s="492" t="s">
        <v>152</v>
      </c>
      <c r="C152" s="493"/>
      <c r="D152" s="300">
        <f t="shared" si="9"/>
        <v>241</v>
      </c>
      <c r="E152" s="197">
        <v>33.49</v>
      </c>
      <c r="F152" s="164">
        <f t="shared" si="13"/>
        <v>33.091999999999999</v>
      </c>
      <c r="G152" s="165" t="s">
        <v>8</v>
      </c>
      <c r="H152" s="164">
        <f t="shared" si="12"/>
        <v>4287.2499999999973</v>
      </c>
      <c r="I152" s="165">
        <f t="shared" si="11"/>
        <v>7531.930000000003</v>
      </c>
      <c r="J152" s="177">
        <f t="shared" si="10"/>
        <v>220.07492016806719</v>
      </c>
      <c r="K152" s="518"/>
      <c r="L152" s="519"/>
    </row>
    <row r="153" spans="1:12">
      <c r="A153" s="298">
        <v>131</v>
      </c>
      <c r="B153" s="492" t="s">
        <v>152</v>
      </c>
      <c r="C153" s="493"/>
      <c r="D153" s="300">
        <f t="shared" ref="D153:D216" si="14">D152-1</f>
        <v>240</v>
      </c>
      <c r="E153" s="197">
        <v>33.549999999999997</v>
      </c>
      <c r="F153" s="164">
        <f t="shared" si="13"/>
        <v>33.151999999999994</v>
      </c>
      <c r="G153" s="165" t="s">
        <v>8</v>
      </c>
      <c r="H153" s="164">
        <f t="shared" si="12"/>
        <v>4320.4019999999973</v>
      </c>
      <c r="I153" s="165">
        <f t="shared" si="11"/>
        <v>7498.778000000003</v>
      </c>
      <c r="J153" s="177">
        <f t="shared" si="10"/>
        <v>220.79464021084792</v>
      </c>
      <c r="K153" s="518"/>
      <c r="L153" s="519"/>
    </row>
    <row r="154" spans="1:12">
      <c r="A154" s="298">
        <v>132</v>
      </c>
      <c r="B154" s="492" t="s">
        <v>152</v>
      </c>
      <c r="C154" s="493"/>
      <c r="D154" s="300">
        <f t="shared" si="14"/>
        <v>239</v>
      </c>
      <c r="E154" s="197">
        <v>33.57</v>
      </c>
      <c r="F154" s="164">
        <f t="shared" si="13"/>
        <v>33.171999999999997</v>
      </c>
      <c r="G154" s="165" t="s">
        <v>8</v>
      </c>
      <c r="H154" s="164">
        <f t="shared" si="12"/>
        <v>4353.5739999999969</v>
      </c>
      <c r="I154" s="165">
        <f t="shared" si="11"/>
        <v>7465.6060000000034</v>
      </c>
      <c r="J154" s="177">
        <f t="shared" si="10"/>
        <v>221.51479444766991</v>
      </c>
      <c r="K154" s="518"/>
      <c r="L154" s="519"/>
    </row>
    <row r="155" spans="1:12">
      <c r="A155" s="298">
        <v>133</v>
      </c>
      <c r="B155" s="492" t="s">
        <v>152</v>
      </c>
      <c r="C155" s="493"/>
      <c r="D155" s="300">
        <f t="shared" si="14"/>
        <v>238</v>
      </c>
      <c r="E155" s="197">
        <v>33.97</v>
      </c>
      <c r="F155" s="164">
        <f t="shared" si="13"/>
        <v>33.571999999999996</v>
      </c>
      <c r="G155" s="165" t="s">
        <v>8</v>
      </c>
      <c r="H155" s="164">
        <f t="shared" si="12"/>
        <v>4387.145999999997</v>
      </c>
      <c r="I155" s="165">
        <f t="shared" si="11"/>
        <v>7432.0340000000033</v>
      </c>
      <c r="J155" s="177">
        <f t="shared" si="10"/>
        <v>222.24363256531697</v>
      </c>
      <c r="K155" s="518"/>
      <c r="L155" s="519"/>
    </row>
    <row r="156" spans="1:12">
      <c r="A156" s="298">
        <v>134</v>
      </c>
      <c r="B156" s="492" t="s">
        <v>152</v>
      </c>
      <c r="C156" s="493"/>
      <c r="D156" s="300">
        <f t="shared" si="14"/>
        <v>237</v>
      </c>
      <c r="E156" s="197">
        <v>33.94</v>
      </c>
      <c r="F156" s="164">
        <f t="shared" si="13"/>
        <v>33.541999999999994</v>
      </c>
      <c r="G156" s="165" t="s">
        <v>8</v>
      </c>
      <c r="H156" s="164">
        <f t="shared" si="12"/>
        <v>4420.6879999999974</v>
      </c>
      <c r="I156" s="165">
        <f t="shared" si="11"/>
        <v>7398.4920000000029</v>
      </c>
      <c r="J156" s="177">
        <f t="shared" si="10"/>
        <v>222.97181939190216</v>
      </c>
      <c r="K156" s="518"/>
      <c r="L156" s="519"/>
    </row>
    <row r="157" spans="1:12">
      <c r="A157" s="298">
        <v>135</v>
      </c>
      <c r="B157" s="492" t="s">
        <v>152</v>
      </c>
      <c r="C157" s="493"/>
      <c r="D157" s="300">
        <f t="shared" si="14"/>
        <v>236</v>
      </c>
      <c r="E157" s="197">
        <v>33.57</v>
      </c>
      <c r="F157" s="164">
        <f t="shared" si="13"/>
        <v>33.171999999999997</v>
      </c>
      <c r="G157" s="165" t="s">
        <v>8</v>
      </c>
      <c r="H157" s="164">
        <f t="shared" si="12"/>
        <v>4453.8599999999969</v>
      </c>
      <c r="I157" s="165">
        <f t="shared" si="11"/>
        <v>7365.3200000000033</v>
      </c>
      <c r="J157" s="177">
        <f t="shared" si="10"/>
        <v>223.69197362872416</v>
      </c>
      <c r="K157" s="518"/>
      <c r="L157" s="519"/>
    </row>
    <row r="158" spans="1:12">
      <c r="A158" s="298">
        <v>136</v>
      </c>
      <c r="B158" s="492" t="s">
        <v>152</v>
      </c>
      <c r="C158" s="493"/>
      <c r="D158" s="300">
        <f t="shared" si="14"/>
        <v>235</v>
      </c>
      <c r="E158" s="197">
        <v>33.200000000000003</v>
      </c>
      <c r="F158" s="164">
        <f t="shared" si="13"/>
        <v>32.802</v>
      </c>
      <c r="G158" s="165" t="s">
        <v>8</v>
      </c>
      <c r="H158" s="164">
        <f t="shared" si="12"/>
        <v>4486.6619999999966</v>
      </c>
      <c r="I158" s="165">
        <f t="shared" si="11"/>
        <v>7332.5180000000037</v>
      </c>
      <c r="J158" s="177">
        <f t="shared" si="10"/>
        <v>224.40409527578299</v>
      </c>
      <c r="K158" s="518"/>
      <c r="L158" s="519"/>
    </row>
    <row r="159" spans="1:12">
      <c r="A159" s="298">
        <v>137</v>
      </c>
      <c r="B159" s="492" t="s">
        <v>152</v>
      </c>
      <c r="C159" s="493"/>
      <c r="D159" s="300">
        <f t="shared" si="14"/>
        <v>234</v>
      </c>
      <c r="E159" s="197">
        <v>33.51</v>
      </c>
      <c r="F159" s="164">
        <f t="shared" si="13"/>
        <v>33.111999999999995</v>
      </c>
      <c r="G159" s="165" t="s">
        <v>8</v>
      </c>
      <c r="H159" s="164">
        <f t="shared" si="12"/>
        <v>4519.7739999999967</v>
      </c>
      <c r="I159" s="165">
        <f t="shared" si="11"/>
        <v>7299.4060000000036</v>
      </c>
      <c r="J159" s="177">
        <f t="shared" si="10"/>
        <v>225.12294693048122</v>
      </c>
      <c r="K159" s="518"/>
      <c r="L159" s="519"/>
    </row>
    <row r="160" spans="1:12">
      <c r="A160" s="298">
        <v>138</v>
      </c>
      <c r="B160" s="492" t="s">
        <v>152</v>
      </c>
      <c r="C160" s="493"/>
      <c r="D160" s="300">
        <f t="shared" si="14"/>
        <v>233</v>
      </c>
      <c r="E160" s="197">
        <v>33.409999999999997</v>
      </c>
      <c r="F160" s="164">
        <f t="shared" si="13"/>
        <v>33.011999999999993</v>
      </c>
      <c r="G160" s="165" t="s">
        <v>8</v>
      </c>
      <c r="H160" s="164">
        <f t="shared" si="12"/>
        <v>4552.7859999999964</v>
      </c>
      <c r="I160" s="165">
        <f t="shared" si="11"/>
        <v>7266.3940000000039</v>
      </c>
      <c r="J160" s="177">
        <f t="shared" si="10"/>
        <v>225.83962761497318</v>
      </c>
      <c r="K160" s="518"/>
      <c r="L160" s="519"/>
    </row>
    <row r="161" spans="1:12">
      <c r="A161" s="298">
        <v>139</v>
      </c>
      <c r="B161" s="492" t="s">
        <v>152</v>
      </c>
      <c r="C161" s="493"/>
      <c r="D161" s="300">
        <f t="shared" si="14"/>
        <v>232</v>
      </c>
      <c r="E161" s="197">
        <v>33.229999999999997</v>
      </c>
      <c r="F161" s="164">
        <f t="shared" si="13"/>
        <v>32.831999999999994</v>
      </c>
      <c r="G161" s="165" t="s">
        <v>8</v>
      </c>
      <c r="H161" s="164">
        <f t="shared" si="12"/>
        <v>4585.6179999999968</v>
      </c>
      <c r="I161" s="165">
        <f t="shared" si="11"/>
        <v>7233.5620000000035</v>
      </c>
      <c r="J161" s="177">
        <f t="shared" si="10"/>
        <v>226.55240055309389</v>
      </c>
      <c r="K161" s="518"/>
      <c r="L161" s="519"/>
    </row>
    <row r="162" spans="1:12">
      <c r="A162" s="298">
        <v>140</v>
      </c>
      <c r="B162" s="492" t="s">
        <v>152</v>
      </c>
      <c r="C162" s="493"/>
      <c r="D162" s="300">
        <f t="shared" si="14"/>
        <v>231</v>
      </c>
      <c r="E162" s="197">
        <v>32.28</v>
      </c>
      <c r="F162" s="164">
        <f t="shared" si="13"/>
        <v>31.882000000000001</v>
      </c>
      <c r="G162" s="165" t="s">
        <v>8</v>
      </c>
      <c r="H162" s="164">
        <f t="shared" si="12"/>
        <v>4617.4999999999964</v>
      </c>
      <c r="I162" s="165">
        <f t="shared" si="11"/>
        <v>7201.6800000000039</v>
      </c>
      <c r="J162" s="177">
        <f t="shared" si="10"/>
        <v>227.24454927425509</v>
      </c>
      <c r="K162" s="518"/>
      <c r="L162" s="519"/>
    </row>
    <row r="163" spans="1:12">
      <c r="A163" s="298">
        <v>141</v>
      </c>
      <c r="B163" s="492" t="s">
        <v>152</v>
      </c>
      <c r="C163" s="493"/>
      <c r="D163" s="300">
        <f t="shared" si="14"/>
        <v>230</v>
      </c>
      <c r="E163" s="197">
        <v>33.090000000000003</v>
      </c>
      <c r="F163" s="164">
        <f t="shared" si="13"/>
        <v>32.692</v>
      </c>
      <c r="G163" s="165" t="s">
        <v>8</v>
      </c>
      <c r="H163" s="164">
        <f t="shared" si="12"/>
        <v>4650.1919999999964</v>
      </c>
      <c r="I163" s="165">
        <f t="shared" si="11"/>
        <v>7168.9880000000039</v>
      </c>
      <c r="J163" s="177">
        <f t="shared" si="10"/>
        <v>227.95428285408701</v>
      </c>
      <c r="K163" s="518"/>
      <c r="L163" s="519"/>
    </row>
    <row r="164" spans="1:12">
      <c r="A164" s="298">
        <v>142</v>
      </c>
      <c r="B164" s="492" t="s">
        <v>152</v>
      </c>
      <c r="C164" s="493"/>
      <c r="D164" s="300">
        <f t="shared" si="14"/>
        <v>229</v>
      </c>
      <c r="E164" s="197">
        <v>33.47</v>
      </c>
      <c r="F164" s="164">
        <f t="shared" si="13"/>
        <v>33.071999999999996</v>
      </c>
      <c r="G164" s="165" t="s">
        <v>8</v>
      </c>
      <c r="H164" s="164">
        <f t="shared" si="12"/>
        <v>4683.2639999999965</v>
      </c>
      <c r="I164" s="165">
        <f t="shared" si="11"/>
        <v>7135.9160000000038</v>
      </c>
      <c r="J164" s="177">
        <f t="shared" si="10"/>
        <v>228.67226612070277</v>
      </c>
      <c r="K164" s="518"/>
      <c r="L164" s="519"/>
    </row>
    <row r="165" spans="1:12">
      <c r="A165" s="298">
        <v>143</v>
      </c>
      <c r="B165" s="492" t="s">
        <v>152</v>
      </c>
      <c r="C165" s="493"/>
      <c r="D165" s="300">
        <f t="shared" si="14"/>
        <v>228</v>
      </c>
      <c r="E165" s="197">
        <v>33.24</v>
      </c>
      <c r="F165" s="164">
        <f t="shared" si="13"/>
        <v>32.841999999999999</v>
      </c>
      <c r="G165" s="165" t="s">
        <v>8</v>
      </c>
      <c r="H165" s="164">
        <f t="shared" si="12"/>
        <v>4716.1059999999961</v>
      </c>
      <c r="I165" s="165">
        <f t="shared" si="11"/>
        <v>7103.0740000000042</v>
      </c>
      <c r="J165" s="177">
        <f t="shared" si="10"/>
        <v>229.3852561558441</v>
      </c>
      <c r="K165" s="518"/>
      <c r="L165" s="519"/>
    </row>
    <row r="166" spans="1:12">
      <c r="A166" s="298">
        <v>144</v>
      </c>
      <c r="B166" s="492" t="s">
        <v>152</v>
      </c>
      <c r="C166" s="493"/>
      <c r="D166" s="300">
        <f t="shared" si="14"/>
        <v>227</v>
      </c>
      <c r="E166" s="197">
        <v>33.83</v>
      </c>
      <c r="F166" s="164">
        <f t="shared" si="13"/>
        <v>33.431999999999995</v>
      </c>
      <c r="G166" s="165" t="s">
        <v>8</v>
      </c>
      <c r="H166" s="164">
        <f t="shared" si="12"/>
        <v>4749.5379999999959</v>
      </c>
      <c r="I166" s="165">
        <f t="shared" si="11"/>
        <v>7069.6420000000044</v>
      </c>
      <c r="J166" s="177">
        <f t="shared" si="10"/>
        <v>230.11105491520237</v>
      </c>
      <c r="K166" s="518"/>
      <c r="L166" s="519"/>
    </row>
    <row r="167" spans="1:12">
      <c r="A167" s="298">
        <v>145</v>
      </c>
      <c r="B167" s="492" t="s">
        <v>152</v>
      </c>
      <c r="C167" s="493"/>
      <c r="D167" s="300">
        <f t="shared" si="14"/>
        <v>226</v>
      </c>
      <c r="E167" s="197">
        <v>33.24</v>
      </c>
      <c r="F167" s="164">
        <f t="shared" si="13"/>
        <v>32.841999999999999</v>
      </c>
      <c r="G167" s="165" t="s">
        <v>8</v>
      </c>
      <c r="H167" s="164">
        <f t="shared" si="12"/>
        <v>4782.3799999999956</v>
      </c>
      <c r="I167" s="165">
        <f t="shared" si="11"/>
        <v>7036.8000000000047</v>
      </c>
      <c r="J167" s="177">
        <f t="shared" si="10"/>
        <v>230.8240449503437</v>
      </c>
      <c r="K167" s="518"/>
      <c r="L167" s="519"/>
    </row>
    <row r="168" spans="1:12">
      <c r="A168" s="298">
        <v>146</v>
      </c>
      <c r="B168" s="492" t="s">
        <v>152</v>
      </c>
      <c r="C168" s="493"/>
      <c r="D168" s="300">
        <f t="shared" si="14"/>
        <v>225</v>
      </c>
      <c r="E168" s="197">
        <v>33.89</v>
      </c>
      <c r="F168" s="164">
        <f t="shared" si="13"/>
        <v>33.491999999999997</v>
      </c>
      <c r="G168" s="165" t="s">
        <v>8</v>
      </c>
      <c r="H168" s="164">
        <f t="shared" si="12"/>
        <v>4815.8719999999958</v>
      </c>
      <c r="I168" s="165">
        <f t="shared" si="11"/>
        <v>7003.3080000000045</v>
      </c>
      <c r="J168" s="177">
        <f t="shared" si="10"/>
        <v>231.55114629182575</v>
      </c>
      <c r="K168" s="518"/>
      <c r="L168" s="519"/>
    </row>
    <row r="169" spans="1:12">
      <c r="A169" s="298">
        <v>147</v>
      </c>
      <c r="B169" s="492" t="s">
        <v>152</v>
      </c>
      <c r="C169" s="493"/>
      <c r="D169" s="300">
        <f t="shared" si="14"/>
        <v>224</v>
      </c>
      <c r="E169" s="197">
        <v>33.82</v>
      </c>
      <c r="F169" s="164">
        <f t="shared" si="13"/>
        <v>33.421999999999997</v>
      </c>
      <c r="G169" s="165" t="s">
        <v>8</v>
      </c>
      <c r="H169" s="164">
        <f t="shared" si="12"/>
        <v>4849.2939999999953</v>
      </c>
      <c r="I169" s="165">
        <f t="shared" si="11"/>
        <v>6969.886000000005</v>
      </c>
      <c r="J169" s="177">
        <f t="shared" si="10"/>
        <v>232.27672795416339</v>
      </c>
      <c r="K169" s="518"/>
      <c r="L169" s="519"/>
    </row>
    <row r="170" spans="1:12">
      <c r="A170" s="298">
        <v>148</v>
      </c>
      <c r="B170" s="492" t="s">
        <v>152</v>
      </c>
      <c r="C170" s="493"/>
      <c r="D170" s="300">
        <f t="shared" si="14"/>
        <v>223</v>
      </c>
      <c r="E170" s="197">
        <v>33.76</v>
      </c>
      <c r="F170" s="164">
        <f t="shared" si="13"/>
        <v>33.361999999999995</v>
      </c>
      <c r="G170" s="165" t="s">
        <v>8</v>
      </c>
      <c r="H170" s="164">
        <f t="shared" si="12"/>
        <v>4882.6559999999954</v>
      </c>
      <c r="I170" s="165">
        <f t="shared" si="11"/>
        <v>6936.5240000000049</v>
      </c>
      <c r="J170" s="177">
        <f t="shared" si="10"/>
        <v>233.0010070343773</v>
      </c>
      <c r="K170" s="518"/>
      <c r="L170" s="519"/>
    </row>
    <row r="171" spans="1:12">
      <c r="A171" s="298">
        <v>149</v>
      </c>
      <c r="B171" s="492" t="s">
        <v>152</v>
      </c>
      <c r="C171" s="493"/>
      <c r="D171" s="300">
        <f t="shared" si="14"/>
        <v>222</v>
      </c>
      <c r="E171" s="197">
        <v>33.770000000000003</v>
      </c>
      <c r="F171" s="164">
        <f t="shared" si="13"/>
        <v>33.372</v>
      </c>
      <c r="G171" s="165" t="s">
        <v>8</v>
      </c>
      <c r="H171" s="164">
        <f t="shared" si="12"/>
        <v>4916.0279999999957</v>
      </c>
      <c r="I171" s="165">
        <f t="shared" si="11"/>
        <v>6903.1520000000046</v>
      </c>
      <c r="J171" s="177">
        <f t="shared" si="10"/>
        <v>233.72550321161185</v>
      </c>
      <c r="K171" s="518"/>
      <c r="L171" s="519"/>
    </row>
    <row r="172" spans="1:12">
      <c r="A172" s="298">
        <v>150</v>
      </c>
      <c r="B172" s="492" t="s">
        <v>152</v>
      </c>
      <c r="C172" s="493"/>
      <c r="D172" s="300">
        <f t="shared" si="14"/>
        <v>221</v>
      </c>
      <c r="E172" s="197">
        <v>33.39</v>
      </c>
      <c r="F172" s="164">
        <f t="shared" si="13"/>
        <v>32.991999999999997</v>
      </c>
      <c r="G172" s="165" t="s">
        <v>8</v>
      </c>
      <c r="H172" s="164">
        <f t="shared" si="12"/>
        <v>4949.0199999999959</v>
      </c>
      <c r="I172" s="165">
        <f t="shared" si="11"/>
        <v>6870.1600000000044</v>
      </c>
      <c r="J172" s="177">
        <f t="shared" si="10"/>
        <v>234.44174970206257</v>
      </c>
      <c r="K172" s="518"/>
      <c r="L172" s="519"/>
    </row>
    <row r="173" spans="1:12">
      <c r="A173" s="298">
        <v>151</v>
      </c>
      <c r="B173" s="492" t="s">
        <v>152</v>
      </c>
      <c r="C173" s="493"/>
      <c r="D173" s="300">
        <f t="shared" si="14"/>
        <v>220</v>
      </c>
      <c r="E173" s="197">
        <v>33.6</v>
      </c>
      <c r="F173" s="164">
        <f t="shared" si="13"/>
        <v>33.201999999999998</v>
      </c>
      <c r="G173" s="165" t="s">
        <v>8</v>
      </c>
      <c r="H173" s="164">
        <f t="shared" si="12"/>
        <v>4982.2219999999961</v>
      </c>
      <c r="I173" s="165">
        <f t="shared" si="11"/>
        <v>6836.9580000000042</v>
      </c>
      <c r="J173" s="177">
        <f t="shared" si="10"/>
        <v>235.16255522994646</v>
      </c>
      <c r="K173" s="518"/>
      <c r="L173" s="519"/>
    </row>
    <row r="174" spans="1:12">
      <c r="A174" s="298">
        <v>152</v>
      </c>
      <c r="B174" s="492" t="s">
        <v>152</v>
      </c>
      <c r="C174" s="493"/>
      <c r="D174" s="300">
        <f t="shared" si="14"/>
        <v>219</v>
      </c>
      <c r="E174" s="197">
        <v>33.700000000000003</v>
      </c>
      <c r="F174" s="164">
        <f t="shared" si="13"/>
        <v>33.302</v>
      </c>
      <c r="G174" s="165" t="s">
        <v>8</v>
      </c>
      <c r="H174" s="164">
        <f t="shared" si="12"/>
        <v>5015.5239999999958</v>
      </c>
      <c r="I174" s="165">
        <f t="shared" si="11"/>
        <v>6803.6560000000045</v>
      </c>
      <c r="J174" s="177">
        <f t="shared" si="10"/>
        <v>235.8855317280366</v>
      </c>
      <c r="K174" s="518"/>
      <c r="L174" s="519"/>
    </row>
    <row r="175" spans="1:12">
      <c r="A175" s="298">
        <v>153</v>
      </c>
      <c r="B175" s="492" t="s">
        <v>152</v>
      </c>
      <c r="C175" s="493"/>
      <c r="D175" s="300">
        <f t="shared" si="14"/>
        <v>218</v>
      </c>
      <c r="E175" s="197">
        <v>33.619999999999997</v>
      </c>
      <c r="F175" s="164">
        <f t="shared" si="13"/>
        <v>33.221999999999994</v>
      </c>
      <c r="G175" s="165" t="s">
        <v>8</v>
      </c>
      <c r="H175" s="164">
        <f t="shared" si="12"/>
        <v>5048.7459999999955</v>
      </c>
      <c r="I175" s="165">
        <f t="shared" si="11"/>
        <v>6770.4340000000047</v>
      </c>
      <c r="J175" s="177">
        <f t="shared" si="10"/>
        <v>236.60677144996174</v>
      </c>
      <c r="K175" s="518"/>
      <c r="L175" s="519"/>
    </row>
    <row r="176" spans="1:12">
      <c r="A176" s="298">
        <v>154</v>
      </c>
      <c r="B176" s="492" t="s">
        <v>152</v>
      </c>
      <c r="C176" s="493"/>
      <c r="D176" s="300">
        <f t="shared" si="14"/>
        <v>217</v>
      </c>
      <c r="E176" s="197">
        <v>33.4</v>
      </c>
      <c r="F176" s="164">
        <f t="shared" si="13"/>
        <v>33.001999999999995</v>
      </c>
      <c r="G176" s="165" t="s">
        <v>8</v>
      </c>
      <c r="H176" s="164">
        <f t="shared" si="12"/>
        <v>5081.747999999996</v>
      </c>
      <c r="I176" s="165">
        <f t="shared" si="11"/>
        <v>6737.4320000000043</v>
      </c>
      <c r="J176" s="177">
        <f t="shared" si="10"/>
        <v>237.32323503743305</v>
      </c>
      <c r="K176" s="518"/>
      <c r="L176" s="519"/>
    </row>
    <row r="177" spans="1:13">
      <c r="A177" s="298">
        <v>155</v>
      </c>
      <c r="B177" s="492" t="s">
        <v>152</v>
      </c>
      <c r="C177" s="493"/>
      <c r="D177" s="300">
        <f t="shared" si="14"/>
        <v>216</v>
      </c>
      <c r="E177" s="197">
        <v>32.06</v>
      </c>
      <c r="F177" s="164">
        <f t="shared" si="13"/>
        <v>31.662000000000003</v>
      </c>
      <c r="G177" s="165" t="s">
        <v>8</v>
      </c>
      <c r="H177" s="164">
        <f t="shared" si="12"/>
        <v>5113.4099999999962</v>
      </c>
      <c r="I177" s="165">
        <f t="shared" si="11"/>
        <v>6705.7700000000041</v>
      </c>
      <c r="J177" s="177">
        <f t="shared" si="10"/>
        <v>238.0106076241405</v>
      </c>
      <c r="K177" s="518"/>
      <c r="L177" s="519"/>
    </row>
    <row r="178" spans="1:13">
      <c r="A178" s="298">
        <v>156</v>
      </c>
      <c r="B178" s="492" t="s">
        <v>152</v>
      </c>
      <c r="C178" s="493"/>
      <c r="D178" s="300">
        <f t="shared" si="14"/>
        <v>215</v>
      </c>
      <c r="E178" s="197">
        <v>33.229999999999997</v>
      </c>
      <c r="F178" s="164">
        <f t="shared" si="13"/>
        <v>32.831999999999994</v>
      </c>
      <c r="G178" s="165" t="s">
        <v>8</v>
      </c>
      <c r="H178" s="164">
        <f t="shared" si="12"/>
        <v>5146.2419999999966</v>
      </c>
      <c r="I178" s="165">
        <f t="shared" si="11"/>
        <v>6672.9380000000037</v>
      </c>
      <c r="J178" s="177">
        <f t="shared" si="10"/>
        <v>238.72338056226118</v>
      </c>
      <c r="K178" s="518"/>
      <c r="L178" s="519"/>
      <c r="M178" s="11"/>
    </row>
    <row r="179" spans="1:13">
      <c r="A179" s="298">
        <v>157</v>
      </c>
      <c r="B179" s="492" t="s">
        <v>152</v>
      </c>
      <c r="C179" s="493"/>
      <c r="D179" s="300">
        <f t="shared" si="14"/>
        <v>214</v>
      </c>
      <c r="E179" s="197">
        <v>33.520000000000003</v>
      </c>
      <c r="F179" s="164">
        <f t="shared" si="13"/>
        <v>33.122</v>
      </c>
      <c r="G179" s="165" t="s">
        <v>8</v>
      </c>
      <c r="H179" s="164">
        <f t="shared" si="12"/>
        <v>5179.3639999999968</v>
      </c>
      <c r="I179" s="165">
        <f t="shared" si="11"/>
        <v>6639.8160000000034</v>
      </c>
      <c r="J179" s="177">
        <f t="shared" si="10"/>
        <v>239.44244931398009</v>
      </c>
      <c r="K179" s="518"/>
      <c r="L179" s="519"/>
    </row>
    <row r="180" spans="1:13">
      <c r="A180" s="298">
        <v>158</v>
      </c>
      <c r="B180" s="492" t="s">
        <v>152</v>
      </c>
      <c r="C180" s="493"/>
      <c r="D180" s="300">
        <f t="shared" si="14"/>
        <v>213</v>
      </c>
      <c r="E180" s="197">
        <v>33.770000000000003</v>
      </c>
      <c r="F180" s="164">
        <f t="shared" si="13"/>
        <v>33.372</v>
      </c>
      <c r="G180" s="165" t="s">
        <v>8</v>
      </c>
      <c r="H180" s="164">
        <f t="shared" si="12"/>
        <v>5212.7359999999971</v>
      </c>
      <c r="I180" s="165">
        <f t="shared" si="11"/>
        <v>6606.4440000000031</v>
      </c>
      <c r="J180" s="177">
        <f t="shared" si="10"/>
        <v>240.16694549121462</v>
      </c>
      <c r="K180" s="518"/>
      <c r="L180" s="519"/>
    </row>
    <row r="181" spans="1:13">
      <c r="A181" s="298">
        <v>159</v>
      </c>
      <c r="B181" s="492" t="s">
        <v>152</v>
      </c>
      <c r="C181" s="493"/>
      <c r="D181" s="300">
        <f t="shared" si="14"/>
        <v>212</v>
      </c>
      <c r="E181" s="197">
        <v>33.39</v>
      </c>
      <c r="F181" s="164">
        <f t="shared" si="13"/>
        <v>32.991999999999997</v>
      </c>
      <c r="G181" s="165" t="s">
        <v>8</v>
      </c>
      <c r="H181" s="164">
        <f t="shared" si="12"/>
        <v>5245.7279999999973</v>
      </c>
      <c r="I181" s="165">
        <f t="shared" si="11"/>
        <v>6573.452000000003</v>
      </c>
      <c r="J181" s="177">
        <f t="shared" si="10"/>
        <v>240.88319198166533</v>
      </c>
      <c r="K181" s="518"/>
      <c r="L181" s="519"/>
    </row>
    <row r="182" spans="1:13">
      <c r="A182" s="298">
        <v>160</v>
      </c>
      <c r="B182" s="492" t="s">
        <v>152</v>
      </c>
      <c r="C182" s="493"/>
      <c r="D182" s="300">
        <f t="shared" si="14"/>
        <v>211</v>
      </c>
      <c r="E182" s="197">
        <v>33.28</v>
      </c>
      <c r="F182" s="164">
        <f t="shared" si="13"/>
        <v>32.881999999999998</v>
      </c>
      <c r="G182" s="165" t="s">
        <v>8</v>
      </c>
      <c r="H182" s="164">
        <f t="shared" si="12"/>
        <v>5278.6099999999969</v>
      </c>
      <c r="I182" s="165">
        <f t="shared" si="11"/>
        <v>6540.5700000000033</v>
      </c>
      <c r="J182" s="177">
        <f t="shared" si="10"/>
        <v>241.59705040488919</v>
      </c>
      <c r="K182" s="518"/>
      <c r="L182" s="519"/>
    </row>
    <row r="183" spans="1:13">
      <c r="A183" s="298">
        <v>161</v>
      </c>
      <c r="B183" s="492" t="s">
        <v>152</v>
      </c>
      <c r="C183" s="493"/>
      <c r="D183" s="300">
        <f t="shared" si="14"/>
        <v>210</v>
      </c>
      <c r="E183" s="197">
        <v>32.82</v>
      </c>
      <c r="F183" s="164">
        <f t="shared" si="13"/>
        <v>32.421999999999997</v>
      </c>
      <c r="G183" s="165" t="s">
        <v>8</v>
      </c>
      <c r="H183" s="164">
        <f t="shared" si="12"/>
        <v>5311.0319999999965</v>
      </c>
      <c r="I183" s="165">
        <f t="shared" si="11"/>
        <v>6508.1480000000038</v>
      </c>
      <c r="J183" s="177">
        <f t="shared" si="10"/>
        <v>242.30092236516418</v>
      </c>
      <c r="K183" s="518"/>
      <c r="L183" s="519"/>
    </row>
    <row r="184" spans="1:13">
      <c r="A184" s="298">
        <v>162</v>
      </c>
      <c r="B184" s="492" t="s">
        <v>152</v>
      </c>
      <c r="C184" s="493"/>
      <c r="D184" s="300">
        <f t="shared" si="14"/>
        <v>209</v>
      </c>
      <c r="E184" s="197">
        <v>33.130000000000003</v>
      </c>
      <c r="F184" s="164">
        <f t="shared" si="13"/>
        <v>32.731999999999999</v>
      </c>
      <c r="G184" s="165" t="s">
        <v>8</v>
      </c>
      <c r="H184" s="164">
        <f t="shared" si="12"/>
        <v>5343.7639999999965</v>
      </c>
      <c r="I184" s="165">
        <f t="shared" si="11"/>
        <v>6475.4160000000038</v>
      </c>
      <c r="J184" s="177">
        <f t="shared" si="10"/>
        <v>243.01152433307863</v>
      </c>
      <c r="K184" s="518"/>
      <c r="L184" s="519"/>
    </row>
    <row r="185" spans="1:13">
      <c r="A185" s="298">
        <v>163</v>
      </c>
      <c r="B185" s="492" t="s">
        <v>152</v>
      </c>
      <c r="C185" s="493"/>
      <c r="D185" s="300">
        <f t="shared" si="14"/>
        <v>208</v>
      </c>
      <c r="E185" s="197">
        <v>33.200000000000003</v>
      </c>
      <c r="F185" s="164">
        <f t="shared" si="13"/>
        <v>32.802</v>
      </c>
      <c r="G185" s="165" t="s">
        <v>8</v>
      </c>
      <c r="H185" s="164">
        <f t="shared" si="12"/>
        <v>5376.5659999999962</v>
      </c>
      <c r="I185" s="165">
        <f t="shared" si="11"/>
        <v>6442.6140000000041</v>
      </c>
      <c r="J185" s="177">
        <f t="shared" si="10"/>
        <v>243.72364598013746</v>
      </c>
      <c r="K185" s="518"/>
      <c r="L185" s="519"/>
    </row>
    <row r="186" spans="1:13">
      <c r="A186" s="298">
        <v>164</v>
      </c>
      <c r="B186" s="492" t="s">
        <v>152</v>
      </c>
      <c r="C186" s="493"/>
      <c r="D186" s="300">
        <f t="shared" si="14"/>
        <v>207</v>
      </c>
      <c r="E186" s="197">
        <v>33.01</v>
      </c>
      <c r="F186" s="164">
        <f t="shared" si="13"/>
        <v>32.611999999999995</v>
      </c>
      <c r="G186" s="165" t="s">
        <v>8</v>
      </c>
      <c r="H186" s="164">
        <f t="shared" si="12"/>
        <v>5409.1779999999962</v>
      </c>
      <c r="I186" s="165">
        <f t="shared" si="11"/>
        <v>6410.002000000004</v>
      </c>
      <c r="J186" s="177">
        <f t="shared" si="10"/>
        <v>244.43164278380436</v>
      </c>
      <c r="K186" s="518"/>
      <c r="L186" s="519"/>
    </row>
    <row r="187" spans="1:13">
      <c r="A187" s="298">
        <v>165</v>
      </c>
      <c r="B187" s="492" t="s">
        <v>152</v>
      </c>
      <c r="C187" s="493"/>
      <c r="D187" s="300">
        <f t="shared" si="14"/>
        <v>206</v>
      </c>
      <c r="E187" s="197">
        <v>32.92</v>
      </c>
      <c r="F187" s="164">
        <f t="shared" si="13"/>
        <v>32.521999999999998</v>
      </c>
      <c r="G187" s="165" t="s">
        <v>8</v>
      </c>
      <c r="H187" s="164">
        <f t="shared" si="12"/>
        <v>5441.6999999999962</v>
      </c>
      <c r="I187" s="165">
        <f t="shared" si="11"/>
        <v>6377.4800000000041</v>
      </c>
      <c r="J187" s="177">
        <f t="shared" si="10"/>
        <v>245.13768571428565</v>
      </c>
      <c r="K187" s="518"/>
      <c r="L187" s="519"/>
    </row>
    <row r="188" spans="1:13">
      <c r="A188" s="298">
        <v>166</v>
      </c>
      <c r="B188" s="492" t="s">
        <v>152</v>
      </c>
      <c r="C188" s="493"/>
      <c r="D188" s="300">
        <f t="shared" si="14"/>
        <v>205</v>
      </c>
      <c r="E188" s="197">
        <v>33.01</v>
      </c>
      <c r="F188" s="164">
        <f t="shared" si="13"/>
        <v>32.611999999999995</v>
      </c>
      <c r="G188" s="165" t="s">
        <v>8</v>
      </c>
      <c r="H188" s="164">
        <f t="shared" si="12"/>
        <v>5474.3119999999963</v>
      </c>
      <c r="I188" s="165">
        <f t="shared" si="11"/>
        <v>6344.868000000004</v>
      </c>
      <c r="J188" s="177">
        <f t="shared" si="10"/>
        <v>245.84568251795258</v>
      </c>
      <c r="K188" s="518"/>
      <c r="L188" s="519"/>
    </row>
    <row r="189" spans="1:13">
      <c r="A189" s="298">
        <v>167</v>
      </c>
      <c r="B189" s="492" t="s">
        <v>152</v>
      </c>
      <c r="C189" s="493"/>
      <c r="D189" s="300">
        <f t="shared" si="14"/>
        <v>204</v>
      </c>
      <c r="E189" s="197">
        <v>31.52</v>
      </c>
      <c r="F189" s="164">
        <f t="shared" si="13"/>
        <v>31.122</v>
      </c>
      <c r="G189" s="165" t="s">
        <v>8</v>
      </c>
      <c r="H189" s="164">
        <f t="shared" si="12"/>
        <v>5505.4339999999966</v>
      </c>
      <c r="I189" s="165">
        <f t="shared" si="11"/>
        <v>6313.7460000000037</v>
      </c>
      <c r="J189" s="177">
        <f t="shared" si="10"/>
        <v>246.52133186554613</v>
      </c>
      <c r="K189" s="518"/>
      <c r="L189" s="519"/>
    </row>
    <row r="190" spans="1:13">
      <c r="A190" s="298">
        <v>168</v>
      </c>
      <c r="B190" s="492" t="s">
        <v>152</v>
      </c>
      <c r="C190" s="493"/>
      <c r="D190" s="300">
        <f t="shared" si="14"/>
        <v>203</v>
      </c>
      <c r="E190" s="197">
        <v>33.020000000000003</v>
      </c>
      <c r="F190" s="164">
        <f t="shared" si="13"/>
        <v>32.622</v>
      </c>
      <c r="G190" s="165" t="s">
        <v>8</v>
      </c>
      <c r="H190" s="164">
        <f t="shared" si="12"/>
        <v>5538.0559999999969</v>
      </c>
      <c r="I190" s="165">
        <f t="shared" si="11"/>
        <v>6281.1240000000034</v>
      </c>
      <c r="J190" s="177">
        <f t="shared" si="10"/>
        <v>247.22954576623371</v>
      </c>
      <c r="K190" s="518"/>
      <c r="L190" s="519"/>
    </row>
    <row r="191" spans="1:13">
      <c r="A191" s="298">
        <v>169</v>
      </c>
      <c r="B191" s="492" t="s">
        <v>152</v>
      </c>
      <c r="C191" s="493"/>
      <c r="D191" s="300">
        <f t="shared" si="14"/>
        <v>202</v>
      </c>
      <c r="E191" s="197">
        <v>33.43</v>
      </c>
      <c r="F191" s="164">
        <f t="shared" si="13"/>
        <v>33.031999999999996</v>
      </c>
      <c r="G191" s="165" t="s">
        <v>8</v>
      </c>
      <c r="H191" s="164">
        <f t="shared" si="12"/>
        <v>5571.087999999997</v>
      </c>
      <c r="I191" s="165">
        <f t="shared" si="11"/>
        <v>6248.0920000000033</v>
      </c>
      <c r="J191" s="177">
        <f t="shared" si="10"/>
        <v>247.94666064476695</v>
      </c>
      <c r="K191" s="518"/>
      <c r="L191" s="519"/>
    </row>
    <row r="192" spans="1:13">
      <c r="A192" s="298">
        <v>170</v>
      </c>
      <c r="B192" s="492" t="s">
        <v>152</v>
      </c>
      <c r="C192" s="493"/>
      <c r="D192" s="300">
        <f t="shared" si="14"/>
        <v>201</v>
      </c>
      <c r="E192" s="197">
        <v>33.04</v>
      </c>
      <c r="F192" s="164">
        <f t="shared" si="13"/>
        <v>32.641999999999996</v>
      </c>
      <c r="G192" s="165" t="s">
        <v>8</v>
      </c>
      <c r="H192" s="164">
        <f t="shared" si="12"/>
        <v>5603.7299999999968</v>
      </c>
      <c r="I192" s="165">
        <f t="shared" si="11"/>
        <v>6215.4500000000035</v>
      </c>
      <c r="J192" s="177">
        <f t="shared" si="10"/>
        <v>248.65530873949575</v>
      </c>
      <c r="K192" s="518"/>
      <c r="L192" s="519"/>
    </row>
    <row r="193" spans="1:12">
      <c r="A193" s="298">
        <v>171</v>
      </c>
      <c r="B193" s="492" t="s">
        <v>152</v>
      </c>
      <c r="C193" s="493"/>
      <c r="D193" s="300">
        <f t="shared" si="14"/>
        <v>200</v>
      </c>
      <c r="E193" s="197">
        <v>33.44</v>
      </c>
      <c r="F193" s="164">
        <f t="shared" si="13"/>
        <v>33.041999999999994</v>
      </c>
      <c r="G193" s="165" t="s">
        <v>8</v>
      </c>
      <c r="H193" s="164">
        <f t="shared" si="12"/>
        <v>5636.7719999999972</v>
      </c>
      <c r="I193" s="165">
        <f t="shared" si="11"/>
        <v>6182.4080000000031</v>
      </c>
      <c r="J193" s="177">
        <f t="shared" si="10"/>
        <v>249.37264071504961</v>
      </c>
      <c r="K193" s="518"/>
      <c r="L193" s="519"/>
    </row>
    <row r="194" spans="1:12">
      <c r="A194" s="298">
        <v>172</v>
      </c>
      <c r="B194" s="492" t="s">
        <v>152</v>
      </c>
      <c r="C194" s="493"/>
      <c r="D194" s="300">
        <f t="shared" si="14"/>
        <v>199</v>
      </c>
      <c r="E194" s="197">
        <v>32.72</v>
      </c>
      <c r="F194" s="164">
        <f t="shared" si="13"/>
        <v>32.321999999999996</v>
      </c>
      <c r="G194" s="165" t="s">
        <v>8</v>
      </c>
      <c r="H194" s="164">
        <f t="shared" si="12"/>
        <v>5669.0939999999973</v>
      </c>
      <c r="I194" s="165">
        <f t="shared" si="11"/>
        <v>6150.086000000003</v>
      </c>
      <c r="J194" s="177">
        <f t="shared" si="10"/>
        <v>250.07434170511837</v>
      </c>
      <c r="K194" s="518"/>
      <c r="L194" s="519"/>
    </row>
    <row r="195" spans="1:12">
      <c r="A195" s="298">
        <v>173</v>
      </c>
      <c r="B195" s="492" t="s">
        <v>152</v>
      </c>
      <c r="C195" s="493"/>
      <c r="D195" s="300">
        <f t="shared" si="14"/>
        <v>198</v>
      </c>
      <c r="E195" s="197">
        <v>33</v>
      </c>
      <c r="F195" s="164">
        <f t="shared" si="13"/>
        <v>32.601999999999997</v>
      </c>
      <c r="G195" s="165" t="s">
        <v>8</v>
      </c>
      <c r="H195" s="164">
        <f t="shared" si="12"/>
        <v>5701.6959999999972</v>
      </c>
      <c r="I195" s="165">
        <f t="shared" si="11"/>
        <v>6117.4840000000031</v>
      </c>
      <c r="J195" s="177">
        <f t="shared" si="10"/>
        <v>250.78212141176465</v>
      </c>
      <c r="K195" s="518"/>
      <c r="L195" s="519"/>
    </row>
    <row r="196" spans="1:12">
      <c r="A196" s="298">
        <v>174</v>
      </c>
      <c r="B196" s="492" t="s">
        <v>152</v>
      </c>
      <c r="C196" s="493"/>
      <c r="D196" s="300">
        <f t="shared" si="14"/>
        <v>197</v>
      </c>
      <c r="E196" s="197">
        <v>33.22</v>
      </c>
      <c r="F196" s="164">
        <f t="shared" si="13"/>
        <v>32.821999999999996</v>
      </c>
      <c r="G196" s="165" t="s">
        <v>8</v>
      </c>
      <c r="H196" s="164">
        <f t="shared" si="12"/>
        <v>5734.5179999999973</v>
      </c>
      <c r="I196" s="165">
        <f t="shared" si="11"/>
        <v>6084.662000000003</v>
      </c>
      <c r="J196" s="177">
        <f t="shared" si="10"/>
        <v>251.49467725286473</v>
      </c>
      <c r="K196" s="518"/>
      <c r="L196" s="519"/>
    </row>
    <row r="197" spans="1:12">
      <c r="A197" s="298">
        <v>175</v>
      </c>
      <c r="B197" s="492" t="s">
        <v>152</v>
      </c>
      <c r="C197" s="493"/>
      <c r="D197" s="300">
        <f t="shared" si="14"/>
        <v>196</v>
      </c>
      <c r="E197" s="197">
        <v>33.909999999999997</v>
      </c>
      <c r="F197" s="164">
        <f t="shared" si="13"/>
        <v>33.511999999999993</v>
      </c>
      <c r="G197" s="165" t="s">
        <v>8</v>
      </c>
      <c r="H197" s="164">
        <f t="shared" si="12"/>
        <v>5768.029999999997</v>
      </c>
      <c r="I197" s="165">
        <f t="shared" si="11"/>
        <v>6051.1500000000033</v>
      </c>
      <c r="J197" s="177">
        <f t="shared" si="10"/>
        <v>252.22221278838802</v>
      </c>
      <c r="K197" s="518"/>
      <c r="L197" s="519"/>
    </row>
    <row r="198" spans="1:12">
      <c r="A198" s="298">
        <v>176</v>
      </c>
      <c r="B198" s="492" t="s">
        <v>152</v>
      </c>
      <c r="C198" s="493"/>
      <c r="D198" s="300">
        <f t="shared" si="14"/>
        <v>195</v>
      </c>
      <c r="E198" s="197">
        <v>33.409999999999997</v>
      </c>
      <c r="F198" s="164">
        <f t="shared" si="13"/>
        <v>33.011999999999993</v>
      </c>
      <c r="G198" s="165" t="s">
        <v>8</v>
      </c>
      <c r="H198" s="164">
        <f t="shared" si="12"/>
        <v>5801.0419999999967</v>
      </c>
      <c r="I198" s="165">
        <f t="shared" si="11"/>
        <v>6018.1380000000036</v>
      </c>
      <c r="J198" s="177">
        <f t="shared" si="10"/>
        <v>252.93889347288001</v>
      </c>
      <c r="K198" s="518"/>
      <c r="L198" s="519"/>
    </row>
    <row r="199" spans="1:12">
      <c r="A199" s="298">
        <v>177</v>
      </c>
      <c r="B199" s="492" t="s">
        <v>152</v>
      </c>
      <c r="C199" s="493"/>
      <c r="D199" s="300">
        <f t="shared" si="14"/>
        <v>194</v>
      </c>
      <c r="E199" s="197">
        <v>33.729999999999997</v>
      </c>
      <c r="F199" s="164">
        <f t="shared" si="13"/>
        <v>33.331999999999994</v>
      </c>
      <c r="G199" s="165" t="s">
        <v>8</v>
      </c>
      <c r="H199" s="164">
        <f t="shared" si="12"/>
        <v>5834.3739999999971</v>
      </c>
      <c r="I199" s="165">
        <f t="shared" si="11"/>
        <v>5984.8060000000032</v>
      </c>
      <c r="J199" s="177">
        <f t="shared" si="10"/>
        <v>253.66252126203204</v>
      </c>
      <c r="K199" s="518"/>
      <c r="L199" s="519"/>
    </row>
    <row r="200" spans="1:12">
      <c r="A200" s="298">
        <v>178</v>
      </c>
      <c r="B200" s="492" t="s">
        <v>152</v>
      </c>
      <c r="C200" s="493"/>
      <c r="D200" s="300">
        <f t="shared" si="14"/>
        <v>193</v>
      </c>
      <c r="E200" s="197">
        <v>33.4</v>
      </c>
      <c r="F200" s="164">
        <f t="shared" si="13"/>
        <v>33.001999999999995</v>
      </c>
      <c r="G200" s="165" t="s">
        <v>8</v>
      </c>
      <c r="H200" s="164">
        <f t="shared" si="12"/>
        <v>5867.3759999999975</v>
      </c>
      <c r="I200" s="165">
        <f t="shared" si="11"/>
        <v>5951.8040000000028</v>
      </c>
      <c r="J200" s="177">
        <f t="shared" si="10"/>
        <v>254.37898484950341</v>
      </c>
      <c r="K200" s="518"/>
      <c r="L200" s="519"/>
    </row>
    <row r="201" spans="1:12">
      <c r="A201" s="298">
        <v>179</v>
      </c>
      <c r="B201" s="492" t="s">
        <v>152</v>
      </c>
      <c r="C201" s="493"/>
      <c r="D201" s="300">
        <f t="shared" si="14"/>
        <v>192</v>
      </c>
      <c r="E201" s="197">
        <v>33.54</v>
      </c>
      <c r="F201" s="164">
        <f t="shared" si="13"/>
        <v>33.141999999999996</v>
      </c>
      <c r="G201" s="165" t="s">
        <v>8</v>
      </c>
      <c r="H201" s="164">
        <f t="shared" si="12"/>
        <v>5900.5179999999973</v>
      </c>
      <c r="I201" s="165">
        <f t="shared" si="11"/>
        <v>5918.662000000003</v>
      </c>
      <c r="J201" s="177">
        <f t="shared" si="10"/>
        <v>255.09848779526351</v>
      </c>
      <c r="K201" s="518"/>
      <c r="L201" s="519"/>
    </row>
    <row r="202" spans="1:12">
      <c r="A202" s="298">
        <v>180</v>
      </c>
      <c r="B202" s="492" t="s">
        <v>152</v>
      </c>
      <c r="C202" s="493"/>
      <c r="D202" s="300">
        <f t="shared" si="14"/>
        <v>191</v>
      </c>
      <c r="E202" s="197">
        <v>32.97</v>
      </c>
      <c r="F202" s="164">
        <f t="shared" si="13"/>
        <v>32.571999999999996</v>
      </c>
      <c r="G202" s="165" t="s">
        <v>8</v>
      </c>
      <c r="H202" s="164">
        <f t="shared" si="12"/>
        <v>5933.0899999999974</v>
      </c>
      <c r="I202" s="165">
        <f t="shared" si="11"/>
        <v>5886.0900000000029</v>
      </c>
      <c r="J202" s="177">
        <f t="shared" si="10"/>
        <v>255.80561621084794</v>
      </c>
      <c r="K202" s="518"/>
      <c r="L202" s="519"/>
    </row>
    <row r="203" spans="1:12">
      <c r="A203" s="298">
        <v>181</v>
      </c>
      <c r="B203" s="492" t="s">
        <v>152</v>
      </c>
      <c r="C203" s="493"/>
      <c r="D203" s="300">
        <f t="shared" si="14"/>
        <v>190</v>
      </c>
      <c r="E203" s="197">
        <v>33.200000000000003</v>
      </c>
      <c r="F203" s="164">
        <f t="shared" si="13"/>
        <v>32.802</v>
      </c>
      <c r="G203" s="165" t="s">
        <v>8</v>
      </c>
      <c r="H203" s="164">
        <f t="shared" si="12"/>
        <v>5965.8919999999971</v>
      </c>
      <c r="I203" s="165">
        <f t="shared" si="11"/>
        <v>5853.2880000000032</v>
      </c>
      <c r="J203" s="177">
        <f t="shared" si="10"/>
        <v>256.51773785790675</v>
      </c>
      <c r="K203" s="518"/>
      <c r="L203" s="519"/>
    </row>
    <row r="204" spans="1:12">
      <c r="A204" s="298">
        <v>182</v>
      </c>
      <c r="B204" s="492" t="s">
        <v>152</v>
      </c>
      <c r="C204" s="493"/>
      <c r="D204" s="300">
        <f t="shared" si="14"/>
        <v>189</v>
      </c>
      <c r="E204" s="197">
        <v>33.64</v>
      </c>
      <c r="F204" s="164">
        <f t="shared" si="13"/>
        <v>33.241999999999997</v>
      </c>
      <c r="G204" s="165" t="s">
        <v>8</v>
      </c>
      <c r="H204" s="164">
        <f t="shared" si="12"/>
        <v>5999.1339999999973</v>
      </c>
      <c r="I204" s="165">
        <f t="shared" si="11"/>
        <v>5820.046000000003</v>
      </c>
      <c r="J204" s="177">
        <f t="shared" si="10"/>
        <v>257.23941177387314</v>
      </c>
      <c r="K204" s="518"/>
      <c r="L204" s="519"/>
    </row>
    <row r="205" spans="1:12">
      <c r="A205" s="298">
        <v>183</v>
      </c>
      <c r="B205" s="492" t="s">
        <v>152</v>
      </c>
      <c r="C205" s="493"/>
      <c r="D205" s="300">
        <f t="shared" si="14"/>
        <v>188</v>
      </c>
      <c r="E205" s="197">
        <v>33.61</v>
      </c>
      <c r="F205" s="164">
        <f t="shared" si="13"/>
        <v>33.211999999999996</v>
      </c>
      <c r="G205" s="165" t="s">
        <v>8</v>
      </c>
      <c r="H205" s="164">
        <f t="shared" si="12"/>
        <v>6032.3459999999977</v>
      </c>
      <c r="I205" s="165">
        <f t="shared" si="11"/>
        <v>5786.8340000000026</v>
      </c>
      <c r="J205" s="177">
        <f t="shared" si="10"/>
        <v>257.96043439877769</v>
      </c>
      <c r="K205" s="518"/>
      <c r="L205" s="519"/>
    </row>
    <row r="206" spans="1:12">
      <c r="A206" s="298">
        <v>184</v>
      </c>
      <c r="B206" s="492" t="s">
        <v>152</v>
      </c>
      <c r="C206" s="493"/>
      <c r="D206" s="300">
        <f t="shared" si="14"/>
        <v>187</v>
      </c>
      <c r="E206" s="197">
        <v>33.42</v>
      </c>
      <c r="F206" s="164">
        <f t="shared" si="13"/>
        <v>33.021999999999998</v>
      </c>
      <c r="G206" s="165" t="s">
        <v>8</v>
      </c>
      <c r="H206" s="164">
        <f t="shared" si="12"/>
        <v>6065.3679999999977</v>
      </c>
      <c r="I206" s="165">
        <f t="shared" si="11"/>
        <v>5753.8120000000026</v>
      </c>
      <c r="J206" s="177">
        <f t="shared" ref="J206:J269" si="15">$G$7+(H206*$C$8*$G$10/1000)</f>
        <v>258.67733218029025</v>
      </c>
      <c r="K206" s="518"/>
      <c r="L206" s="519"/>
    </row>
    <row r="207" spans="1:12">
      <c r="A207" s="298">
        <v>185</v>
      </c>
      <c r="B207" s="492" t="s">
        <v>152</v>
      </c>
      <c r="C207" s="493"/>
      <c r="D207" s="300">
        <f t="shared" si="14"/>
        <v>186</v>
      </c>
      <c r="E207" s="197">
        <v>33.869999999999997</v>
      </c>
      <c r="F207" s="164">
        <f t="shared" si="13"/>
        <v>33.471999999999994</v>
      </c>
      <c r="G207" s="165" t="s">
        <v>8</v>
      </c>
      <c r="H207" s="164">
        <f t="shared" si="12"/>
        <v>6098.8399999999974</v>
      </c>
      <c r="I207" s="165">
        <f t="shared" ref="I207:I270" si="16">IF(H207="","",$K$6-H207)</f>
        <v>5720.3400000000029</v>
      </c>
      <c r="J207" s="177">
        <f t="shared" si="15"/>
        <v>259.40399932773107</v>
      </c>
      <c r="K207" s="518"/>
      <c r="L207" s="519"/>
    </row>
    <row r="208" spans="1:12">
      <c r="A208" s="298">
        <v>186</v>
      </c>
      <c r="B208" s="492" t="s">
        <v>152</v>
      </c>
      <c r="C208" s="493"/>
      <c r="D208" s="300">
        <f t="shared" si="14"/>
        <v>185</v>
      </c>
      <c r="E208" s="197">
        <v>33.22</v>
      </c>
      <c r="F208" s="164">
        <f t="shared" si="13"/>
        <v>32.821999999999996</v>
      </c>
      <c r="G208" s="165" t="s">
        <v>8</v>
      </c>
      <c r="H208" s="164">
        <f t="shared" si="12"/>
        <v>6131.6619999999975</v>
      </c>
      <c r="I208" s="165">
        <f t="shared" si="16"/>
        <v>5687.5180000000028</v>
      </c>
      <c r="J208" s="177">
        <f t="shared" si="15"/>
        <v>260.11655516883116</v>
      </c>
      <c r="K208" s="518"/>
      <c r="L208" s="519"/>
    </row>
    <row r="209" spans="1:13">
      <c r="A209" s="298">
        <v>187</v>
      </c>
      <c r="B209" s="492" t="s">
        <v>152</v>
      </c>
      <c r="C209" s="493"/>
      <c r="D209" s="300">
        <f t="shared" si="14"/>
        <v>184</v>
      </c>
      <c r="E209" s="197">
        <v>33.049999999999997</v>
      </c>
      <c r="F209" s="164">
        <f t="shared" si="13"/>
        <v>32.651999999999994</v>
      </c>
      <c r="G209" s="165" t="s">
        <v>8</v>
      </c>
      <c r="H209" s="164">
        <f t="shared" si="12"/>
        <v>6164.3139999999976</v>
      </c>
      <c r="I209" s="165">
        <f t="shared" si="16"/>
        <v>5654.8660000000027</v>
      </c>
      <c r="J209" s="177">
        <f t="shared" si="15"/>
        <v>260.82542036058055</v>
      </c>
      <c r="K209" s="518"/>
      <c r="L209" s="519"/>
    </row>
    <row r="210" spans="1:13">
      <c r="A210" s="298">
        <v>188</v>
      </c>
      <c r="B210" s="492" t="s">
        <v>152</v>
      </c>
      <c r="C210" s="493"/>
      <c r="D210" s="300">
        <f t="shared" si="14"/>
        <v>183</v>
      </c>
      <c r="E210" s="197">
        <v>33.17</v>
      </c>
      <c r="F210" s="164">
        <f t="shared" si="13"/>
        <v>32.771999999999998</v>
      </c>
      <c r="G210" s="165" t="s">
        <v>8</v>
      </c>
      <c r="H210" s="164">
        <f t="shared" ref="H210:H273" si="17">IF(G210="IN",H209+F210,H209)</f>
        <v>6197.0859999999975</v>
      </c>
      <c r="I210" s="165">
        <f t="shared" si="16"/>
        <v>5622.0940000000028</v>
      </c>
      <c r="J210" s="177">
        <f t="shared" si="15"/>
        <v>261.53689071657749</v>
      </c>
      <c r="K210" s="518"/>
      <c r="L210" s="519"/>
    </row>
    <row r="211" spans="1:13">
      <c r="A211" s="298">
        <v>189</v>
      </c>
      <c r="B211" s="492" t="s">
        <v>152</v>
      </c>
      <c r="C211" s="493"/>
      <c r="D211" s="300">
        <f t="shared" si="14"/>
        <v>182</v>
      </c>
      <c r="E211" s="197">
        <v>32.729999999999997</v>
      </c>
      <c r="F211" s="164">
        <f t="shared" si="13"/>
        <v>32.331999999999994</v>
      </c>
      <c r="G211" s="165" t="s">
        <v>8</v>
      </c>
      <c r="H211" s="164">
        <f t="shared" si="17"/>
        <v>6229.4179999999978</v>
      </c>
      <c r="I211" s="165">
        <f t="shared" si="16"/>
        <v>5589.7620000000024</v>
      </c>
      <c r="J211" s="177">
        <f t="shared" si="15"/>
        <v>262.23880880366687</v>
      </c>
      <c r="K211" s="518"/>
      <c r="L211" s="519"/>
    </row>
    <row r="212" spans="1:13">
      <c r="A212" s="298">
        <v>190</v>
      </c>
      <c r="B212" s="492" t="s">
        <v>152</v>
      </c>
      <c r="C212" s="493"/>
      <c r="D212" s="300">
        <f t="shared" si="14"/>
        <v>181</v>
      </c>
      <c r="E212" s="197">
        <v>33.31</v>
      </c>
      <c r="F212" s="164">
        <f t="shared" si="13"/>
        <v>32.911999999999999</v>
      </c>
      <c r="G212" s="165" t="s">
        <v>8</v>
      </c>
      <c r="H212" s="164">
        <f t="shared" si="17"/>
        <v>6262.3299999999981</v>
      </c>
      <c r="I212" s="165">
        <f t="shared" si="16"/>
        <v>5556.8500000000022</v>
      </c>
      <c r="J212" s="177">
        <f t="shared" si="15"/>
        <v>262.9533185179526</v>
      </c>
      <c r="K212" s="518"/>
      <c r="L212" s="519"/>
    </row>
    <row r="213" spans="1:13">
      <c r="A213" s="298">
        <v>191</v>
      </c>
      <c r="B213" s="492" t="s">
        <v>152</v>
      </c>
      <c r="C213" s="493"/>
      <c r="D213" s="300">
        <f t="shared" si="14"/>
        <v>180</v>
      </c>
      <c r="E213" s="197">
        <v>33.04</v>
      </c>
      <c r="F213" s="164">
        <f t="shared" si="13"/>
        <v>32.641999999999996</v>
      </c>
      <c r="G213" s="165" t="s">
        <v>8</v>
      </c>
      <c r="H213" s="164">
        <f t="shared" si="17"/>
        <v>6294.9719999999979</v>
      </c>
      <c r="I213" s="165">
        <f t="shared" si="16"/>
        <v>5524.2080000000024</v>
      </c>
      <c r="J213" s="177">
        <f t="shared" si="15"/>
        <v>263.6619666126814</v>
      </c>
      <c r="K213" s="518"/>
      <c r="L213" s="519"/>
    </row>
    <row r="214" spans="1:13" s="152" customFormat="1">
      <c r="A214" s="298">
        <v>192</v>
      </c>
      <c r="B214" s="492" t="s">
        <v>152</v>
      </c>
      <c r="C214" s="493"/>
      <c r="D214" s="300">
        <f t="shared" si="14"/>
        <v>179</v>
      </c>
      <c r="E214" s="197">
        <v>33.049999999999997</v>
      </c>
      <c r="F214" s="164">
        <f t="shared" si="13"/>
        <v>32.651999999999994</v>
      </c>
      <c r="G214" s="165" t="s">
        <v>8</v>
      </c>
      <c r="H214" s="164">
        <f t="shared" si="17"/>
        <v>6327.623999999998</v>
      </c>
      <c r="I214" s="165">
        <f t="shared" si="16"/>
        <v>5491.5560000000023</v>
      </c>
      <c r="J214" s="177">
        <f t="shared" si="15"/>
        <v>264.37083180443085</v>
      </c>
      <c r="K214" s="536"/>
      <c r="L214" s="537"/>
      <c r="M214" s="151"/>
    </row>
    <row r="215" spans="1:13">
      <c r="A215" s="298">
        <v>193</v>
      </c>
      <c r="B215" s="492" t="s">
        <v>152</v>
      </c>
      <c r="C215" s="493"/>
      <c r="D215" s="300">
        <f t="shared" si="14"/>
        <v>178</v>
      </c>
      <c r="E215" s="197">
        <v>33.14</v>
      </c>
      <c r="F215" s="164">
        <f t="shared" ref="F215:F278" si="18">E215-($C$10)</f>
        <v>32.741999999999997</v>
      </c>
      <c r="G215" s="165" t="s">
        <v>8</v>
      </c>
      <c r="H215" s="164">
        <f t="shared" si="17"/>
        <v>6360.3659999999982</v>
      </c>
      <c r="I215" s="165">
        <f t="shared" si="16"/>
        <v>5458.8140000000021</v>
      </c>
      <c r="J215" s="177">
        <f t="shared" si="15"/>
        <v>265.08165086936589</v>
      </c>
      <c r="K215" s="518"/>
      <c r="L215" s="519"/>
    </row>
    <row r="216" spans="1:13">
      <c r="A216" s="298">
        <v>194</v>
      </c>
      <c r="B216" s="492" t="s">
        <v>152</v>
      </c>
      <c r="C216" s="493"/>
      <c r="D216" s="300">
        <f t="shared" si="14"/>
        <v>177</v>
      </c>
      <c r="E216" s="197">
        <v>33.29</v>
      </c>
      <c r="F216" s="164">
        <f t="shared" si="18"/>
        <v>32.891999999999996</v>
      </c>
      <c r="G216" s="165" t="s">
        <v>8</v>
      </c>
      <c r="H216" s="164">
        <f t="shared" si="17"/>
        <v>6393.257999999998</v>
      </c>
      <c r="I216" s="165">
        <f t="shared" si="16"/>
        <v>5425.9220000000023</v>
      </c>
      <c r="J216" s="177">
        <f t="shared" si="15"/>
        <v>265.79572638961042</v>
      </c>
      <c r="K216" s="518"/>
      <c r="L216" s="519"/>
    </row>
    <row r="217" spans="1:13">
      <c r="A217" s="298">
        <v>195</v>
      </c>
      <c r="B217" s="492" t="s">
        <v>152</v>
      </c>
      <c r="C217" s="493"/>
      <c r="D217" s="300">
        <f t="shared" ref="D217:D280" si="19">D216-1</f>
        <v>176</v>
      </c>
      <c r="E217" s="197">
        <v>33.619999999999997</v>
      </c>
      <c r="F217" s="164">
        <f t="shared" si="18"/>
        <v>33.221999999999994</v>
      </c>
      <c r="G217" s="165" t="s">
        <v>8</v>
      </c>
      <c r="H217" s="164">
        <f t="shared" si="17"/>
        <v>6426.4799999999977</v>
      </c>
      <c r="I217" s="165">
        <f t="shared" si="16"/>
        <v>5392.7000000000025</v>
      </c>
      <c r="J217" s="177">
        <f t="shared" si="15"/>
        <v>266.51696611153551</v>
      </c>
      <c r="K217" s="518"/>
      <c r="L217" s="519"/>
    </row>
    <row r="218" spans="1:13">
      <c r="A218" s="298">
        <v>196</v>
      </c>
      <c r="B218" s="492" t="s">
        <v>152</v>
      </c>
      <c r="C218" s="493"/>
      <c r="D218" s="300">
        <f t="shared" si="19"/>
        <v>175</v>
      </c>
      <c r="E218" s="197">
        <v>33.21</v>
      </c>
      <c r="F218" s="164">
        <f t="shared" si="18"/>
        <v>32.811999999999998</v>
      </c>
      <c r="G218" s="165" t="s">
        <v>8</v>
      </c>
      <c r="H218" s="164">
        <f t="shared" si="17"/>
        <v>6459.2919999999976</v>
      </c>
      <c r="I218" s="165">
        <f t="shared" si="16"/>
        <v>5359.8880000000026</v>
      </c>
      <c r="J218" s="177">
        <f t="shared" si="15"/>
        <v>267.22930485561494</v>
      </c>
      <c r="K218" s="518"/>
      <c r="L218" s="519"/>
    </row>
    <row r="219" spans="1:13">
      <c r="A219" s="298">
        <v>197</v>
      </c>
      <c r="B219" s="492" t="s">
        <v>152</v>
      </c>
      <c r="C219" s="493"/>
      <c r="D219" s="300">
        <f t="shared" si="19"/>
        <v>174</v>
      </c>
      <c r="E219" s="197">
        <v>33.39</v>
      </c>
      <c r="F219" s="164">
        <f t="shared" si="18"/>
        <v>32.991999999999997</v>
      </c>
      <c r="G219" s="165" t="s">
        <v>8</v>
      </c>
      <c r="H219" s="164">
        <f t="shared" si="17"/>
        <v>6492.2839999999978</v>
      </c>
      <c r="I219" s="165">
        <f t="shared" si="16"/>
        <v>5326.8960000000025</v>
      </c>
      <c r="J219" s="177">
        <f t="shared" si="15"/>
        <v>267.94555134606566</v>
      </c>
      <c r="K219" s="518"/>
      <c r="L219" s="519"/>
    </row>
    <row r="220" spans="1:13">
      <c r="A220" s="298">
        <v>198</v>
      </c>
      <c r="B220" s="492" t="s">
        <v>152</v>
      </c>
      <c r="C220" s="493"/>
      <c r="D220" s="300">
        <f t="shared" si="19"/>
        <v>173</v>
      </c>
      <c r="E220" s="197">
        <v>32.26</v>
      </c>
      <c r="F220" s="164">
        <f t="shared" si="18"/>
        <v>31.861999999999998</v>
      </c>
      <c r="G220" s="165" t="s">
        <v>8</v>
      </c>
      <c r="H220" s="164">
        <f t="shared" si="17"/>
        <v>6524.1459999999979</v>
      </c>
      <c r="I220" s="165">
        <f t="shared" si="16"/>
        <v>5295.0340000000024</v>
      </c>
      <c r="J220" s="177">
        <f t="shared" si="15"/>
        <v>268.63726587318558</v>
      </c>
      <c r="K220" s="240"/>
      <c r="L220" s="241"/>
    </row>
    <row r="221" spans="1:13">
      <c r="A221" s="298">
        <v>199</v>
      </c>
      <c r="B221" s="492" t="s">
        <v>152</v>
      </c>
      <c r="C221" s="493"/>
      <c r="D221" s="300">
        <f t="shared" si="19"/>
        <v>172</v>
      </c>
      <c r="E221" s="197">
        <v>33.83</v>
      </c>
      <c r="F221" s="164">
        <f t="shared" si="18"/>
        <v>33.431999999999995</v>
      </c>
      <c r="G221" s="165" t="s">
        <v>8</v>
      </c>
      <c r="H221" s="164">
        <f t="shared" si="17"/>
        <v>6557.5779999999977</v>
      </c>
      <c r="I221" s="165">
        <f t="shared" si="16"/>
        <v>5261.6020000000026</v>
      </c>
      <c r="J221" s="177">
        <f t="shared" si="15"/>
        <v>269.36306463254391</v>
      </c>
      <c r="K221" s="240"/>
      <c r="L221" s="241"/>
    </row>
    <row r="222" spans="1:13">
      <c r="A222" s="298">
        <v>200</v>
      </c>
      <c r="B222" s="492" t="s">
        <v>152</v>
      </c>
      <c r="C222" s="493"/>
      <c r="D222" s="300">
        <f t="shared" si="19"/>
        <v>171</v>
      </c>
      <c r="E222" s="197">
        <v>33.43</v>
      </c>
      <c r="F222" s="164">
        <f t="shared" si="18"/>
        <v>33.031999999999996</v>
      </c>
      <c r="G222" s="165" t="s">
        <v>8</v>
      </c>
      <c r="H222" s="164">
        <f t="shared" si="17"/>
        <v>6590.6099999999979</v>
      </c>
      <c r="I222" s="165">
        <f t="shared" si="16"/>
        <v>5228.5700000000024</v>
      </c>
      <c r="J222" s="177">
        <f t="shared" si="15"/>
        <v>270.08017951107718</v>
      </c>
      <c r="K222" s="240"/>
      <c r="L222" s="241"/>
    </row>
    <row r="223" spans="1:13">
      <c r="A223" s="298">
        <v>201</v>
      </c>
      <c r="B223" s="492" t="s">
        <v>152</v>
      </c>
      <c r="C223" s="493"/>
      <c r="D223" s="300">
        <f t="shared" si="19"/>
        <v>170</v>
      </c>
      <c r="E223" s="197">
        <v>33.14</v>
      </c>
      <c r="F223" s="164">
        <f t="shared" si="18"/>
        <v>32.741999999999997</v>
      </c>
      <c r="G223" s="165" t="s">
        <v>8</v>
      </c>
      <c r="H223" s="164">
        <f t="shared" si="17"/>
        <v>6623.351999999998</v>
      </c>
      <c r="I223" s="165">
        <f t="shared" si="16"/>
        <v>5195.8280000000022</v>
      </c>
      <c r="J223" s="177">
        <f t="shared" si="15"/>
        <v>270.79099857601221</v>
      </c>
      <c r="K223" s="240"/>
      <c r="L223" s="241"/>
    </row>
    <row r="224" spans="1:13">
      <c r="A224" s="298">
        <v>202</v>
      </c>
      <c r="B224" s="492" t="s">
        <v>152</v>
      </c>
      <c r="C224" s="493"/>
      <c r="D224" s="300">
        <f t="shared" si="19"/>
        <v>169</v>
      </c>
      <c r="E224" s="197">
        <v>33.1</v>
      </c>
      <c r="F224" s="164">
        <f t="shared" si="18"/>
        <v>32.701999999999998</v>
      </c>
      <c r="G224" s="165" t="s">
        <v>8</v>
      </c>
      <c r="H224" s="164">
        <f t="shared" si="17"/>
        <v>6656.0539999999983</v>
      </c>
      <c r="I224" s="165">
        <f t="shared" si="16"/>
        <v>5163.126000000002</v>
      </c>
      <c r="J224" s="177">
        <f t="shared" si="15"/>
        <v>271.50094925286476</v>
      </c>
      <c r="K224" s="240"/>
      <c r="L224" s="241"/>
    </row>
    <row r="225" spans="1:12">
      <c r="A225" s="298">
        <v>203</v>
      </c>
      <c r="B225" s="492" t="s">
        <v>152</v>
      </c>
      <c r="C225" s="493"/>
      <c r="D225" s="300">
        <f t="shared" si="19"/>
        <v>168</v>
      </c>
      <c r="E225" s="197">
        <v>33.49</v>
      </c>
      <c r="F225" s="164">
        <f t="shared" si="18"/>
        <v>33.091999999999999</v>
      </c>
      <c r="G225" s="165" t="s">
        <v>8</v>
      </c>
      <c r="H225" s="164">
        <f t="shared" si="17"/>
        <v>6689.1459999999979</v>
      </c>
      <c r="I225" s="165">
        <f t="shared" si="16"/>
        <v>5130.0340000000024</v>
      </c>
      <c r="J225" s="177">
        <f t="shared" si="15"/>
        <v>272.21936671352171</v>
      </c>
      <c r="K225" s="240"/>
      <c r="L225" s="241"/>
    </row>
    <row r="226" spans="1:12">
      <c r="A226" s="298">
        <v>204</v>
      </c>
      <c r="B226" s="492" t="s">
        <v>152</v>
      </c>
      <c r="C226" s="493"/>
      <c r="D226" s="300">
        <f t="shared" si="19"/>
        <v>167</v>
      </c>
      <c r="E226" s="197">
        <v>33.020000000000003</v>
      </c>
      <c r="F226" s="164">
        <f t="shared" si="18"/>
        <v>32.622</v>
      </c>
      <c r="G226" s="165" t="s">
        <v>8</v>
      </c>
      <c r="H226" s="164">
        <f t="shared" si="17"/>
        <v>6721.7679999999982</v>
      </c>
      <c r="I226" s="165">
        <f t="shared" si="16"/>
        <v>5097.4120000000021</v>
      </c>
      <c r="J226" s="177">
        <f t="shared" si="15"/>
        <v>272.92758061420932</v>
      </c>
      <c r="K226" s="240"/>
      <c r="L226" s="241"/>
    </row>
    <row r="227" spans="1:12">
      <c r="A227" s="298">
        <v>205</v>
      </c>
      <c r="B227" s="492" t="s">
        <v>152</v>
      </c>
      <c r="C227" s="493"/>
      <c r="D227" s="300">
        <f t="shared" si="19"/>
        <v>166</v>
      </c>
      <c r="E227" s="197">
        <v>33.07</v>
      </c>
      <c r="F227" s="164">
        <f t="shared" si="18"/>
        <v>32.671999999999997</v>
      </c>
      <c r="G227" s="165" t="s">
        <v>8</v>
      </c>
      <c r="H227" s="164">
        <f t="shared" si="17"/>
        <v>6754.4399999999978</v>
      </c>
      <c r="I227" s="165">
        <f t="shared" si="16"/>
        <v>5064.7400000000025</v>
      </c>
      <c r="J227" s="177">
        <f t="shared" si="15"/>
        <v>273.63687999999996</v>
      </c>
      <c r="K227" s="240"/>
      <c r="L227" s="241"/>
    </row>
    <row r="228" spans="1:12">
      <c r="A228" s="298">
        <v>206</v>
      </c>
      <c r="B228" s="492" t="s">
        <v>152</v>
      </c>
      <c r="C228" s="493"/>
      <c r="D228" s="300">
        <f t="shared" si="19"/>
        <v>165</v>
      </c>
      <c r="E228" s="197">
        <v>33.44</v>
      </c>
      <c r="F228" s="164">
        <f t="shared" si="18"/>
        <v>33.041999999999994</v>
      </c>
      <c r="G228" s="165" t="s">
        <v>8</v>
      </c>
      <c r="H228" s="164">
        <f t="shared" si="17"/>
        <v>6787.4819999999982</v>
      </c>
      <c r="I228" s="165">
        <f t="shared" si="16"/>
        <v>5031.6980000000021</v>
      </c>
      <c r="J228" s="177">
        <f t="shared" si="15"/>
        <v>274.35421197555382</v>
      </c>
      <c r="K228" s="240"/>
      <c r="L228" s="241"/>
    </row>
    <row r="229" spans="1:12">
      <c r="A229" s="298">
        <v>207</v>
      </c>
      <c r="B229" s="492" t="s">
        <v>152</v>
      </c>
      <c r="C229" s="493"/>
      <c r="D229" s="300">
        <f t="shared" si="19"/>
        <v>164</v>
      </c>
      <c r="E229" s="197">
        <v>33.54</v>
      </c>
      <c r="F229" s="164">
        <f t="shared" si="18"/>
        <v>33.141999999999996</v>
      </c>
      <c r="G229" s="165" t="s">
        <v>8</v>
      </c>
      <c r="H229" s="164">
        <f t="shared" si="17"/>
        <v>6820.623999999998</v>
      </c>
      <c r="I229" s="165">
        <f t="shared" si="16"/>
        <v>4998.5560000000023</v>
      </c>
      <c r="J229" s="177">
        <f t="shared" si="15"/>
        <v>275.07371492131392</v>
      </c>
      <c r="K229" s="240"/>
      <c r="L229" s="241"/>
    </row>
    <row r="230" spans="1:12">
      <c r="A230" s="298">
        <v>208</v>
      </c>
      <c r="B230" s="492" t="s">
        <v>152</v>
      </c>
      <c r="C230" s="493"/>
      <c r="D230" s="300">
        <f t="shared" si="19"/>
        <v>163</v>
      </c>
      <c r="E230" s="197">
        <v>33.24</v>
      </c>
      <c r="F230" s="164">
        <f t="shared" si="18"/>
        <v>32.841999999999999</v>
      </c>
      <c r="G230" s="165" t="s">
        <v>8</v>
      </c>
      <c r="H230" s="164">
        <f t="shared" si="17"/>
        <v>6853.4659999999976</v>
      </c>
      <c r="I230" s="165">
        <f t="shared" si="16"/>
        <v>4965.7140000000027</v>
      </c>
      <c r="J230" s="177">
        <f t="shared" si="15"/>
        <v>275.78670495645531</v>
      </c>
      <c r="K230" s="240"/>
      <c r="L230" s="241"/>
    </row>
    <row r="231" spans="1:12">
      <c r="A231" s="298">
        <v>209</v>
      </c>
      <c r="B231" s="492" t="s">
        <v>152</v>
      </c>
      <c r="C231" s="493"/>
      <c r="D231" s="300">
        <f t="shared" si="19"/>
        <v>162</v>
      </c>
      <c r="E231" s="197">
        <v>33.24</v>
      </c>
      <c r="F231" s="164">
        <f t="shared" si="18"/>
        <v>32.841999999999999</v>
      </c>
      <c r="G231" s="165" t="s">
        <v>8</v>
      </c>
      <c r="H231" s="164">
        <f t="shared" si="17"/>
        <v>6886.3079999999973</v>
      </c>
      <c r="I231" s="165">
        <f t="shared" si="16"/>
        <v>4932.872000000003</v>
      </c>
      <c r="J231" s="177">
        <f t="shared" si="15"/>
        <v>276.49969499159658</v>
      </c>
      <c r="K231" s="240"/>
      <c r="L231" s="241"/>
    </row>
    <row r="232" spans="1:12">
      <c r="A232" s="298">
        <v>210</v>
      </c>
      <c r="B232" s="492" t="s">
        <v>152</v>
      </c>
      <c r="C232" s="493"/>
      <c r="D232" s="300">
        <f t="shared" si="19"/>
        <v>161</v>
      </c>
      <c r="E232" s="197">
        <v>33.159999999999997</v>
      </c>
      <c r="F232" s="164">
        <f t="shared" si="18"/>
        <v>32.761999999999993</v>
      </c>
      <c r="G232" s="165" t="s">
        <v>8</v>
      </c>
      <c r="H232" s="164">
        <f t="shared" si="17"/>
        <v>6919.069999999997</v>
      </c>
      <c r="I232" s="165">
        <f t="shared" si="16"/>
        <v>4900.1100000000033</v>
      </c>
      <c r="J232" s="177">
        <f t="shared" si="15"/>
        <v>277.21094825057287</v>
      </c>
      <c r="K232" s="240"/>
      <c r="L232" s="241"/>
    </row>
    <row r="233" spans="1:12">
      <c r="A233" s="298">
        <v>211</v>
      </c>
      <c r="B233" s="492" t="s">
        <v>152</v>
      </c>
      <c r="C233" s="493"/>
      <c r="D233" s="300">
        <f t="shared" si="19"/>
        <v>160</v>
      </c>
      <c r="E233" s="197">
        <v>33.729999999999997</v>
      </c>
      <c r="F233" s="164">
        <f t="shared" si="18"/>
        <v>33.331999999999994</v>
      </c>
      <c r="G233" s="165" t="s">
        <v>8</v>
      </c>
      <c r="H233" s="164">
        <f t="shared" si="17"/>
        <v>6952.4019999999973</v>
      </c>
      <c r="I233" s="165">
        <f t="shared" si="16"/>
        <v>4866.778000000003</v>
      </c>
      <c r="J233" s="177">
        <f t="shared" si="15"/>
        <v>277.93457603972496</v>
      </c>
      <c r="K233" s="240"/>
      <c r="L233" s="241"/>
    </row>
    <row r="234" spans="1:12">
      <c r="A234" s="298">
        <v>212</v>
      </c>
      <c r="B234" s="492" t="s">
        <v>152</v>
      </c>
      <c r="C234" s="493"/>
      <c r="D234" s="300">
        <f t="shared" si="19"/>
        <v>159</v>
      </c>
      <c r="E234" s="197">
        <v>33.520000000000003</v>
      </c>
      <c r="F234" s="164">
        <f t="shared" si="18"/>
        <v>33.122</v>
      </c>
      <c r="G234" s="165" t="s">
        <v>8</v>
      </c>
      <c r="H234" s="164">
        <f t="shared" si="17"/>
        <v>6985.5239999999976</v>
      </c>
      <c r="I234" s="165">
        <f t="shared" si="16"/>
        <v>4833.6560000000027</v>
      </c>
      <c r="J234" s="177">
        <f t="shared" si="15"/>
        <v>278.65364479144387</v>
      </c>
      <c r="K234" s="240"/>
      <c r="L234" s="241"/>
    </row>
    <row r="235" spans="1:12">
      <c r="A235" s="298">
        <v>213</v>
      </c>
      <c r="B235" s="492" t="s">
        <v>152</v>
      </c>
      <c r="C235" s="493"/>
      <c r="D235" s="300">
        <f t="shared" si="19"/>
        <v>158</v>
      </c>
      <c r="E235" s="197">
        <v>33.47</v>
      </c>
      <c r="F235" s="164">
        <f t="shared" si="18"/>
        <v>33.071999999999996</v>
      </c>
      <c r="G235" s="165" t="s">
        <v>8</v>
      </c>
      <c r="H235" s="164">
        <f t="shared" si="17"/>
        <v>7018.5959999999977</v>
      </c>
      <c r="I235" s="165">
        <f t="shared" si="16"/>
        <v>4800.5840000000026</v>
      </c>
      <c r="J235" s="177">
        <f t="shared" si="15"/>
        <v>279.37162805805951</v>
      </c>
      <c r="K235" s="240"/>
      <c r="L235" s="241"/>
    </row>
    <row r="236" spans="1:12">
      <c r="A236" s="298">
        <v>214</v>
      </c>
      <c r="B236" s="492" t="s">
        <v>152</v>
      </c>
      <c r="C236" s="493"/>
      <c r="D236" s="300">
        <f t="shared" si="19"/>
        <v>157</v>
      </c>
      <c r="E236" s="197">
        <v>33</v>
      </c>
      <c r="F236" s="164">
        <f t="shared" si="18"/>
        <v>32.601999999999997</v>
      </c>
      <c r="G236" s="165" t="s">
        <v>8</v>
      </c>
      <c r="H236" s="164">
        <f t="shared" si="17"/>
        <v>7051.1979999999976</v>
      </c>
      <c r="I236" s="165">
        <f t="shared" si="16"/>
        <v>4767.9820000000027</v>
      </c>
      <c r="J236" s="177">
        <f t="shared" si="15"/>
        <v>280.07940776470582</v>
      </c>
      <c r="K236" s="240"/>
      <c r="L236" s="241"/>
    </row>
    <row r="237" spans="1:12">
      <c r="A237" s="298">
        <v>215</v>
      </c>
      <c r="B237" s="492" t="s">
        <v>152</v>
      </c>
      <c r="C237" s="493"/>
      <c r="D237" s="300">
        <f t="shared" si="19"/>
        <v>156</v>
      </c>
      <c r="E237" s="197">
        <v>31.86</v>
      </c>
      <c r="F237" s="164">
        <f t="shared" si="18"/>
        <v>31.462</v>
      </c>
      <c r="G237" s="165" t="s">
        <v>8</v>
      </c>
      <c r="H237" s="164">
        <f t="shared" si="17"/>
        <v>7082.659999999998</v>
      </c>
      <c r="I237" s="165">
        <f t="shared" si="16"/>
        <v>4736.5200000000023</v>
      </c>
      <c r="J237" s="177">
        <f t="shared" si="15"/>
        <v>280.76243841100074</v>
      </c>
      <c r="K237" s="240"/>
      <c r="L237" s="241"/>
    </row>
    <row r="238" spans="1:12">
      <c r="A238" s="298">
        <v>216</v>
      </c>
      <c r="B238" s="492" t="s">
        <v>152</v>
      </c>
      <c r="C238" s="493"/>
      <c r="D238" s="300">
        <f t="shared" si="19"/>
        <v>155</v>
      </c>
      <c r="E238" s="197">
        <v>33.590000000000003</v>
      </c>
      <c r="F238" s="164">
        <f t="shared" si="18"/>
        <v>33.192</v>
      </c>
      <c r="G238" s="165" t="s">
        <v>8</v>
      </c>
      <c r="H238" s="164">
        <f t="shared" si="17"/>
        <v>7115.851999999998</v>
      </c>
      <c r="I238" s="165">
        <f t="shared" si="16"/>
        <v>4703.3280000000022</v>
      </c>
      <c r="J238" s="177">
        <f t="shared" si="15"/>
        <v>281.48302684186399</v>
      </c>
      <c r="K238" s="240"/>
      <c r="L238" s="241"/>
    </row>
    <row r="239" spans="1:12">
      <c r="A239" s="298">
        <v>217</v>
      </c>
      <c r="B239" s="492" t="s">
        <v>152</v>
      </c>
      <c r="C239" s="493"/>
      <c r="D239" s="300">
        <f t="shared" si="19"/>
        <v>154</v>
      </c>
      <c r="E239" s="197">
        <v>33.700000000000003</v>
      </c>
      <c r="F239" s="164">
        <f t="shared" si="18"/>
        <v>33.302</v>
      </c>
      <c r="G239" s="165" t="s">
        <v>8</v>
      </c>
      <c r="H239" s="164">
        <f t="shared" si="17"/>
        <v>7149.1539999999977</v>
      </c>
      <c r="I239" s="165">
        <f t="shared" si="16"/>
        <v>4670.0260000000026</v>
      </c>
      <c r="J239" s="177">
        <f t="shared" si="15"/>
        <v>282.20600333995412</v>
      </c>
      <c r="K239" s="240"/>
      <c r="L239" s="241"/>
    </row>
    <row r="240" spans="1:12">
      <c r="A240" s="298">
        <v>218</v>
      </c>
      <c r="B240" s="492" t="s">
        <v>152</v>
      </c>
      <c r="C240" s="493"/>
      <c r="D240" s="300">
        <f t="shared" si="19"/>
        <v>153</v>
      </c>
      <c r="E240" s="197">
        <v>33.549999999999997</v>
      </c>
      <c r="F240" s="164">
        <f t="shared" si="18"/>
        <v>33.151999999999994</v>
      </c>
      <c r="G240" s="165" t="s">
        <v>8</v>
      </c>
      <c r="H240" s="164">
        <f t="shared" si="17"/>
        <v>7182.3059999999978</v>
      </c>
      <c r="I240" s="165">
        <f t="shared" si="16"/>
        <v>4636.8740000000025</v>
      </c>
      <c r="J240" s="177">
        <f t="shared" si="15"/>
        <v>282.92572338273487</v>
      </c>
      <c r="K240" s="240"/>
      <c r="L240" s="241"/>
    </row>
    <row r="241" spans="1:12">
      <c r="A241" s="298">
        <v>219</v>
      </c>
      <c r="B241" s="492" t="s">
        <v>152</v>
      </c>
      <c r="C241" s="493"/>
      <c r="D241" s="300">
        <f t="shared" si="19"/>
        <v>152</v>
      </c>
      <c r="E241" s="197">
        <v>33.700000000000003</v>
      </c>
      <c r="F241" s="164">
        <f t="shared" si="18"/>
        <v>33.302</v>
      </c>
      <c r="G241" s="165" t="s">
        <v>8</v>
      </c>
      <c r="H241" s="164">
        <f t="shared" si="17"/>
        <v>7215.6079999999974</v>
      </c>
      <c r="I241" s="165">
        <f t="shared" si="16"/>
        <v>4603.5720000000028</v>
      </c>
      <c r="J241" s="177">
        <f t="shared" si="15"/>
        <v>283.64869988082501</v>
      </c>
      <c r="K241" s="240"/>
      <c r="L241" s="241"/>
    </row>
    <row r="242" spans="1:12">
      <c r="A242" s="298">
        <v>220</v>
      </c>
      <c r="B242" s="492" t="s">
        <v>152</v>
      </c>
      <c r="C242" s="493"/>
      <c r="D242" s="300">
        <f t="shared" si="19"/>
        <v>151</v>
      </c>
      <c r="E242" s="197">
        <v>33.119999999999997</v>
      </c>
      <c r="F242" s="164">
        <f t="shared" si="18"/>
        <v>32.721999999999994</v>
      </c>
      <c r="G242" s="165" t="s">
        <v>8</v>
      </c>
      <c r="H242" s="164">
        <f t="shared" si="17"/>
        <v>7248.3299999999972</v>
      </c>
      <c r="I242" s="165">
        <f t="shared" si="16"/>
        <v>4570.8500000000031</v>
      </c>
      <c r="J242" s="177">
        <f t="shared" si="15"/>
        <v>284.3590847517188</v>
      </c>
      <c r="K242" s="240"/>
      <c r="L242" s="241"/>
    </row>
    <row r="243" spans="1:12">
      <c r="A243" s="298">
        <v>221</v>
      </c>
      <c r="B243" s="492" t="s">
        <v>152</v>
      </c>
      <c r="C243" s="493"/>
      <c r="D243" s="300">
        <f t="shared" si="19"/>
        <v>150</v>
      </c>
      <c r="E243" s="197">
        <v>32.93</v>
      </c>
      <c r="F243" s="164">
        <f t="shared" si="18"/>
        <v>32.531999999999996</v>
      </c>
      <c r="G243" s="165" t="s">
        <v>8</v>
      </c>
      <c r="H243" s="164">
        <f t="shared" si="17"/>
        <v>7280.8619999999974</v>
      </c>
      <c r="I243" s="165">
        <f t="shared" si="16"/>
        <v>4538.3180000000029</v>
      </c>
      <c r="J243" s="177">
        <f t="shared" si="15"/>
        <v>285.06534477922071</v>
      </c>
      <c r="K243" s="240"/>
      <c r="L243" s="241"/>
    </row>
    <row r="244" spans="1:12">
      <c r="A244" s="298">
        <v>222</v>
      </c>
      <c r="B244" s="492" t="s">
        <v>152</v>
      </c>
      <c r="C244" s="493"/>
      <c r="D244" s="300">
        <f t="shared" si="19"/>
        <v>149</v>
      </c>
      <c r="E244" s="197">
        <v>33.03</v>
      </c>
      <c r="F244" s="164">
        <f t="shared" si="18"/>
        <v>32.631999999999998</v>
      </c>
      <c r="G244" s="165" t="s">
        <v>8</v>
      </c>
      <c r="H244" s="164">
        <f t="shared" si="17"/>
        <v>7313.493999999997</v>
      </c>
      <c r="I244" s="165">
        <f t="shared" si="16"/>
        <v>4505.6860000000033</v>
      </c>
      <c r="J244" s="177">
        <f t="shared" si="15"/>
        <v>285.77377577692891</v>
      </c>
      <c r="K244" s="240"/>
      <c r="L244" s="241"/>
    </row>
    <row r="245" spans="1:12">
      <c r="A245" s="298">
        <v>223</v>
      </c>
      <c r="B245" s="492" t="s">
        <v>152</v>
      </c>
      <c r="C245" s="493"/>
      <c r="D245" s="300">
        <f t="shared" si="19"/>
        <v>148</v>
      </c>
      <c r="E245" s="197">
        <v>32.92</v>
      </c>
      <c r="F245" s="164">
        <f t="shared" si="18"/>
        <v>32.521999999999998</v>
      </c>
      <c r="G245" s="165" t="s">
        <v>8</v>
      </c>
      <c r="H245" s="164">
        <f t="shared" si="17"/>
        <v>7346.0159999999969</v>
      </c>
      <c r="I245" s="165">
        <f t="shared" si="16"/>
        <v>4473.1640000000034</v>
      </c>
      <c r="J245" s="177">
        <f t="shared" si="15"/>
        <v>286.47981870741017</v>
      </c>
      <c r="K245" s="240"/>
      <c r="L245" s="241"/>
    </row>
    <row r="246" spans="1:12">
      <c r="A246" s="298">
        <v>224</v>
      </c>
      <c r="B246" s="492" t="s">
        <v>152</v>
      </c>
      <c r="C246" s="493"/>
      <c r="D246" s="300">
        <f t="shared" si="19"/>
        <v>147</v>
      </c>
      <c r="E246" s="197">
        <v>33</v>
      </c>
      <c r="F246" s="164">
        <f t="shared" si="18"/>
        <v>32.601999999999997</v>
      </c>
      <c r="G246" s="165" t="s">
        <v>8</v>
      </c>
      <c r="H246" s="164">
        <f t="shared" si="17"/>
        <v>7378.6179999999968</v>
      </c>
      <c r="I246" s="165">
        <f t="shared" si="16"/>
        <v>4440.5620000000035</v>
      </c>
      <c r="J246" s="177">
        <f t="shared" si="15"/>
        <v>287.18759841405648</v>
      </c>
      <c r="K246" s="240"/>
      <c r="L246" s="241"/>
    </row>
    <row r="247" spans="1:12">
      <c r="A247" s="298">
        <v>225</v>
      </c>
      <c r="B247" s="492" t="s">
        <v>152</v>
      </c>
      <c r="C247" s="493"/>
      <c r="D247" s="300">
        <f t="shared" si="19"/>
        <v>146</v>
      </c>
      <c r="E247" s="197">
        <v>33.9</v>
      </c>
      <c r="F247" s="164">
        <f t="shared" si="18"/>
        <v>33.501999999999995</v>
      </c>
      <c r="G247" s="165" t="s">
        <v>8</v>
      </c>
      <c r="H247" s="164">
        <f t="shared" si="17"/>
        <v>7412.1199999999972</v>
      </c>
      <c r="I247" s="165">
        <f t="shared" si="16"/>
        <v>4407.0600000000031</v>
      </c>
      <c r="J247" s="177">
        <f t="shared" si="15"/>
        <v>287.91491685255914</v>
      </c>
      <c r="K247" s="240"/>
      <c r="L247" s="241"/>
    </row>
    <row r="248" spans="1:12">
      <c r="A248" s="298">
        <v>226</v>
      </c>
      <c r="B248" s="492" t="s">
        <v>152</v>
      </c>
      <c r="C248" s="493"/>
      <c r="D248" s="300">
        <f t="shared" si="19"/>
        <v>145</v>
      </c>
      <c r="E248" s="197">
        <v>33.869999999999997</v>
      </c>
      <c r="F248" s="164">
        <f t="shared" si="18"/>
        <v>33.471999999999994</v>
      </c>
      <c r="G248" s="165" t="s">
        <v>8</v>
      </c>
      <c r="H248" s="164">
        <f t="shared" si="17"/>
        <v>7445.5919999999969</v>
      </c>
      <c r="I248" s="165">
        <f t="shared" si="16"/>
        <v>4373.5880000000034</v>
      </c>
      <c r="J248" s="177">
        <f t="shared" si="15"/>
        <v>288.64158399999997</v>
      </c>
      <c r="K248" s="240"/>
      <c r="L248" s="241"/>
    </row>
    <row r="249" spans="1:12">
      <c r="A249" s="298">
        <v>227</v>
      </c>
      <c r="B249" s="492" t="s">
        <v>152</v>
      </c>
      <c r="C249" s="493"/>
      <c r="D249" s="300">
        <f t="shared" si="19"/>
        <v>144</v>
      </c>
      <c r="E249" s="197">
        <v>33.29</v>
      </c>
      <c r="F249" s="164">
        <f t="shared" si="18"/>
        <v>32.891999999999996</v>
      </c>
      <c r="G249" s="165" t="s">
        <v>8</v>
      </c>
      <c r="H249" s="164">
        <f t="shared" si="17"/>
        <v>7478.4839999999967</v>
      </c>
      <c r="I249" s="165">
        <f t="shared" si="16"/>
        <v>4340.6960000000036</v>
      </c>
      <c r="J249" s="177">
        <f t="shared" si="15"/>
        <v>289.35565952024439</v>
      </c>
      <c r="K249" s="240"/>
      <c r="L249" s="241"/>
    </row>
    <row r="250" spans="1:12">
      <c r="A250" s="298">
        <v>228</v>
      </c>
      <c r="B250" s="492" t="s">
        <v>152</v>
      </c>
      <c r="C250" s="493"/>
      <c r="D250" s="300">
        <f t="shared" si="19"/>
        <v>143</v>
      </c>
      <c r="E250" s="197">
        <v>33.42</v>
      </c>
      <c r="F250" s="164">
        <f t="shared" si="18"/>
        <v>33.021999999999998</v>
      </c>
      <c r="G250" s="165" t="s">
        <v>8</v>
      </c>
      <c r="H250" s="164">
        <f t="shared" si="17"/>
        <v>7511.5059999999967</v>
      </c>
      <c r="I250" s="165">
        <f t="shared" si="16"/>
        <v>4307.6740000000036</v>
      </c>
      <c r="J250" s="177">
        <f t="shared" si="15"/>
        <v>290.072557301757</v>
      </c>
      <c r="K250" s="240"/>
      <c r="L250" s="241"/>
    </row>
    <row r="251" spans="1:12">
      <c r="A251" s="298">
        <v>229</v>
      </c>
      <c r="B251" s="492" t="s">
        <v>152</v>
      </c>
      <c r="C251" s="493"/>
      <c r="D251" s="300">
        <f t="shared" si="19"/>
        <v>142</v>
      </c>
      <c r="E251" s="197">
        <v>33.65</v>
      </c>
      <c r="F251" s="164">
        <f t="shared" si="18"/>
        <v>33.251999999999995</v>
      </c>
      <c r="G251" s="165" t="s">
        <v>8</v>
      </c>
      <c r="H251" s="164">
        <f t="shared" si="17"/>
        <v>7544.7579999999971</v>
      </c>
      <c r="I251" s="165">
        <f t="shared" si="16"/>
        <v>4274.4220000000032</v>
      </c>
      <c r="J251" s="177">
        <f t="shared" si="15"/>
        <v>290.79444831474405</v>
      </c>
      <c r="K251" s="240"/>
      <c r="L251" s="241"/>
    </row>
    <row r="252" spans="1:12">
      <c r="A252" s="298">
        <v>230</v>
      </c>
      <c r="B252" s="492" t="s">
        <v>152</v>
      </c>
      <c r="C252" s="493"/>
      <c r="D252" s="300">
        <f t="shared" si="19"/>
        <v>141</v>
      </c>
      <c r="E252" s="197">
        <v>33.18</v>
      </c>
      <c r="F252" s="164">
        <f t="shared" si="18"/>
        <v>32.781999999999996</v>
      </c>
      <c r="G252" s="165" t="s">
        <v>8</v>
      </c>
      <c r="H252" s="164">
        <f t="shared" si="17"/>
        <v>7577.5399999999972</v>
      </c>
      <c r="I252" s="165">
        <f t="shared" si="16"/>
        <v>4241.6400000000031</v>
      </c>
      <c r="J252" s="177">
        <f t="shared" si="15"/>
        <v>291.50613576776163</v>
      </c>
      <c r="K252" s="240"/>
      <c r="L252" s="241"/>
    </row>
    <row r="253" spans="1:12">
      <c r="A253" s="298">
        <v>231</v>
      </c>
      <c r="B253" s="492" t="s">
        <v>152</v>
      </c>
      <c r="C253" s="493"/>
      <c r="D253" s="300">
        <f t="shared" si="19"/>
        <v>140</v>
      </c>
      <c r="E253" s="197">
        <v>33.880000000000003</v>
      </c>
      <c r="F253" s="164">
        <f t="shared" si="18"/>
        <v>33.481999999999999</v>
      </c>
      <c r="G253" s="165" t="s">
        <v>8</v>
      </c>
      <c r="H253" s="164">
        <f t="shared" si="17"/>
        <v>7611.0219999999972</v>
      </c>
      <c r="I253" s="165">
        <f t="shared" si="16"/>
        <v>4208.1580000000031</v>
      </c>
      <c r="J253" s="177">
        <f t="shared" si="15"/>
        <v>292.23302001222305</v>
      </c>
      <c r="K253" s="240"/>
      <c r="L253" s="241"/>
    </row>
    <row r="254" spans="1:12">
      <c r="A254" s="298">
        <v>232</v>
      </c>
      <c r="B254" s="492" t="s">
        <v>152</v>
      </c>
      <c r="C254" s="493"/>
      <c r="D254" s="300">
        <f t="shared" si="19"/>
        <v>139</v>
      </c>
      <c r="E254" s="197">
        <v>33.56</v>
      </c>
      <c r="F254" s="164">
        <f t="shared" si="18"/>
        <v>33.161999999999999</v>
      </c>
      <c r="G254" s="165" t="s">
        <v>8</v>
      </c>
      <c r="H254" s="164">
        <f t="shared" si="17"/>
        <v>7644.1839999999975</v>
      </c>
      <c r="I254" s="165">
        <f t="shared" si="16"/>
        <v>4174.9960000000028</v>
      </c>
      <c r="J254" s="177">
        <f t="shared" si="15"/>
        <v>292.9529571520244</v>
      </c>
      <c r="K254" s="240"/>
      <c r="L254" s="241"/>
    </row>
    <row r="255" spans="1:12">
      <c r="A255" s="298">
        <v>233</v>
      </c>
      <c r="B255" s="492" t="s">
        <v>152</v>
      </c>
      <c r="C255" s="493"/>
      <c r="D255" s="300">
        <f t="shared" si="19"/>
        <v>138</v>
      </c>
      <c r="E255" s="197">
        <v>33.200000000000003</v>
      </c>
      <c r="F255" s="164">
        <f t="shared" si="18"/>
        <v>32.802</v>
      </c>
      <c r="G255" s="165" t="s">
        <v>8</v>
      </c>
      <c r="H255" s="164">
        <f t="shared" si="17"/>
        <v>7676.9859999999971</v>
      </c>
      <c r="I255" s="165">
        <f t="shared" si="16"/>
        <v>4142.1940000000031</v>
      </c>
      <c r="J255" s="177">
        <f t="shared" si="15"/>
        <v>293.66507879908323</v>
      </c>
      <c r="K255" s="240"/>
      <c r="L255" s="241"/>
    </row>
    <row r="256" spans="1:12">
      <c r="A256" s="298">
        <v>234</v>
      </c>
      <c r="B256" s="492" t="s">
        <v>152</v>
      </c>
      <c r="C256" s="493"/>
      <c r="D256" s="300">
        <f t="shared" si="19"/>
        <v>137</v>
      </c>
      <c r="E256" s="197">
        <v>33.56</v>
      </c>
      <c r="F256" s="164">
        <f t="shared" si="18"/>
        <v>33.161999999999999</v>
      </c>
      <c r="G256" s="165" t="s">
        <v>8</v>
      </c>
      <c r="H256" s="164">
        <f t="shared" si="17"/>
        <v>7710.1479999999974</v>
      </c>
      <c r="I256" s="165">
        <f t="shared" si="16"/>
        <v>4109.0320000000029</v>
      </c>
      <c r="J256" s="177">
        <f t="shared" si="15"/>
        <v>294.38501593888464</v>
      </c>
      <c r="K256" s="240"/>
      <c r="L256" s="241"/>
    </row>
    <row r="257" spans="1:12">
      <c r="A257" s="298">
        <v>235</v>
      </c>
      <c r="B257" s="492" t="s">
        <v>152</v>
      </c>
      <c r="C257" s="493"/>
      <c r="D257" s="300">
        <f t="shared" si="19"/>
        <v>136</v>
      </c>
      <c r="E257" s="197">
        <v>33.36</v>
      </c>
      <c r="F257" s="164">
        <f t="shared" si="18"/>
        <v>32.961999999999996</v>
      </c>
      <c r="G257" s="165" t="s">
        <v>8</v>
      </c>
      <c r="H257" s="164">
        <f t="shared" si="17"/>
        <v>7743.1099999999979</v>
      </c>
      <c r="I257" s="165">
        <f t="shared" si="16"/>
        <v>4076.0700000000024</v>
      </c>
      <c r="J257" s="177">
        <f t="shared" si="15"/>
        <v>295.10061113827351</v>
      </c>
      <c r="K257" s="240"/>
      <c r="L257" s="241"/>
    </row>
    <row r="258" spans="1:12">
      <c r="A258" s="298">
        <v>236</v>
      </c>
      <c r="B258" s="492" t="s">
        <v>152</v>
      </c>
      <c r="C258" s="493"/>
      <c r="D258" s="300">
        <f t="shared" si="19"/>
        <v>135</v>
      </c>
      <c r="E258" s="197">
        <v>33.42</v>
      </c>
      <c r="F258" s="164">
        <f t="shared" si="18"/>
        <v>33.021999999999998</v>
      </c>
      <c r="G258" s="165" t="s">
        <v>8</v>
      </c>
      <c r="H258" s="164">
        <f t="shared" si="17"/>
        <v>7776.1319999999978</v>
      </c>
      <c r="I258" s="165">
        <f t="shared" si="16"/>
        <v>4043.0480000000025</v>
      </c>
      <c r="J258" s="177">
        <f t="shared" si="15"/>
        <v>295.81750891978606</v>
      </c>
      <c r="K258" s="240"/>
      <c r="L258" s="241"/>
    </row>
    <row r="259" spans="1:12">
      <c r="A259" s="298">
        <v>237</v>
      </c>
      <c r="B259" s="492" t="s">
        <v>152</v>
      </c>
      <c r="C259" s="493"/>
      <c r="D259" s="300">
        <f t="shared" si="19"/>
        <v>134</v>
      </c>
      <c r="E259" s="197">
        <v>33.93</v>
      </c>
      <c r="F259" s="164">
        <f t="shared" si="18"/>
        <v>33.531999999999996</v>
      </c>
      <c r="G259" s="165" t="s">
        <v>8</v>
      </c>
      <c r="H259" s="164">
        <f t="shared" si="17"/>
        <v>7809.6639999999979</v>
      </c>
      <c r="I259" s="165">
        <f t="shared" si="16"/>
        <v>4009.5160000000024</v>
      </c>
      <c r="J259" s="177">
        <f t="shared" si="15"/>
        <v>296.54547864935057</v>
      </c>
      <c r="K259" s="240"/>
      <c r="L259" s="241"/>
    </row>
    <row r="260" spans="1:12">
      <c r="A260" s="298">
        <v>238</v>
      </c>
      <c r="B260" s="492" t="s">
        <v>152</v>
      </c>
      <c r="C260" s="493"/>
      <c r="D260" s="300">
        <f t="shared" si="19"/>
        <v>133</v>
      </c>
      <c r="E260" s="197">
        <v>33.64</v>
      </c>
      <c r="F260" s="164">
        <f t="shared" si="18"/>
        <v>33.241999999999997</v>
      </c>
      <c r="G260" s="165" t="s">
        <v>8</v>
      </c>
      <c r="H260" s="164">
        <f t="shared" si="17"/>
        <v>7842.9059999999981</v>
      </c>
      <c r="I260" s="165">
        <f t="shared" si="16"/>
        <v>3976.2740000000022</v>
      </c>
      <c r="J260" s="177">
        <f t="shared" si="15"/>
        <v>297.26715256531702</v>
      </c>
      <c r="K260" s="240"/>
      <c r="L260" s="241"/>
    </row>
    <row r="261" spans="1:12">
      <c r="A261" s="298">
        <v>239</v>
      </c>
      <c r="B261" s="492" t="s">
        <v>152</v>
      </c>
      <c r="C261" s="493"/>
      <c r="D261" s="300">
        <f t="shared" si="19"/>
        <v>132</v>
      </c>
      <c r="E261" s="197">
        <v>33.130000000000003</v>
      </c>
      <c r="F261" s="164">
        <f t="shared" si="18"/>
        <v>32.731999999999999</v>
      </c>
      <c r="G261" s="165" t="s">
        <v>8</v>
      </c>
      <c r="H261" s="164">
        <f t="shared" si="17"/>
        <v>7875.6379999999981</v>
      </c>
      <c r="I261" s="165">
        <f t="shared" si="16"/>
        <v>3943.5420000000022</v>
      </c>
      <c r="J261" s="177">
        <f t="shared" si="15"/>
        <v>297.97775453323146</v>
      </c>
      <c r="K261" s="240"/>
      <c r="L261" s="241"/>
    </row>
    <row r="262" spans="1:12">
      <c r="A262" s="298">
        <v>240</v>
      </c>
      <c r="B262" s="492" t="s">
        <v>152</v>
      </c>
      <c r="C262" s="493"/>
      <c r="D262" s="300">
        <f t="shared" si="19"/>
        <v>131</v>
      </c>
      <c r="E262" s="197">
        <v>33.159999999999997</v>
      </c>
      <c r="F262" s="164">
        <f t="shared" si="18"/>
        <v>32.761999999999993</v>
      </c>
      <c r="G262" s="165" t="s">
        <v>8</v>
      </c>
      <c r="H262" s="164">
        <f t="shared" si="17"/>
        <v>7908.3999999999978</v>
      </c>
      <c r="I262" s="165">
        <f t="shared" si="16"/>
        <v>3910.7800000000025</v>
      </c>
      <c r="J262" s="177">
        <f t="shared" si="15"/>
        <v>298.6890077922078</v>
      </c>
      <c r="K262" s="240"/>
      <c r="L262" s="241"/>
    </row>
    <row r="263" spans="1:12">
      <c r="A263" s="298">
        <v>241</v>
      </c>
      <c r="B263" s="492" t="s">
        <v>152</v>
      </c>
      <c r="C263" s="493"/>
      <c r="D263" s="300">
        <f t="shared" si="19"/>
        <v>130</v>
      </c>
      <c r="E263" s="197">
        <v>33.909999999999997</v>
      </c>
      <c r="F263" s="164">
        <f t="shared" si="18"/>
        <v>33.511999999999993</v>
      </c>
      <c r="G263" s="165" t="s">
        <v>8</v>
      </c>
      <c r="H263" s="164">
        <f t="shared" si="17"/>
        <v>7941.9119999999975</v>
      </c>
      <c r="I263" s="165">
        <f t="shared" si="16"/>
        <v>3877.2680000000028</v>
      </c>
      <c r="J263" s="177">
        <f t="shared" si="15"/>
        <v>299.41654332773106</v>
      </c>
      <c r="K263" s="240"/>
      <c r="L263" s="241"/>
    </row>
    <row r="264" spans="1:12">
      <c r="A264" s="298">
        <v>242</v>
      </c>
      <c r="B264" s="492" t="s">
        <v>152</v>
      </c>
      <c r="C264" s="493"/>
      <c r="D264" s="300">
        <f t="shared" si="19"/>
        <v>129</v>
      </c>
      <c r="E264" s="197">
        <v>33.76</v>
      </c>
      <c r="F264" s="164">
        <f t="shared" si="18"/>
        <v>33.361999999999995</v>
      </c>
      <c r="G264" s="165" t="s">
        <v>8</v>
      </c>
      <c r="H264" s="164">
        <f t="shared" si="17"/>
        <v>7975.2739999999976</v>
      </c>
      <c r="I264" s="165">
        <f t="shared" si="16"/>
        <v>3843.9060000000027</v>
      </c>
      <c r="J264" s="177">
        <f t="shared" si="15"/>
        <v>300.14082240794494</v>
      </c>
      <c r="K264" s="240"/>
      <c r="L264" s="241"/>
    </row>
    <row r="265" spans="1:12">
      <c r="A265" s="298">
        <v>243</v>
      </c>
      <c r="B265" s="492" t="s">
        <v>152</v>
      </c>
      <c r="C265" s="493"/>
      <c r="D265" s="300">
        <f t="shared" si="19"/>
        <v>128</v>
      </c>
      <c r="E265" s="197">
        <v>33.340000000000003</v>
      </c>
      <c r="F265" s="164">
        <f t="shared" si="18"/>
        <v>32.942</v>
      </c>
      <c r="G265" s="165" t="s">
        <v>8</v>
      </c>
      <c r="H265" s="164">
        <f t="shared" si="17"/>
        <v>8008.2159999999976</v>
      </c>
      <c r="I265" s="165">
        <f t="shared" si="16"/>
        <v>3810.9640000000027</v>
      </c>
      <c r="J265" s="177">
        <f t="shared" si="15"/>
        <v>300.85598341329256</v>
      </c>
      <c r="K265" s="240"/>
      <c r="L265" s="241"/>
    </row>
    <row r="266" spans="1:12">
      <c r="A266" s="298">
        <v>244</v>
      </c>
      <c r="B266" s="492" t="s">
        <v>152</v>
      </c>
      <c r="C266" s="493"/>
      <c r="D266" s="300">
        <f t="shared" si="19"/>
        <v>127</v>
      </c>
      <c r="E266" s="197">
        <v>33.49</v>
      </c>
      <c r="F266" s="164">
        <f t="shared" si="18"/>
        <v>33.091999999999999</v>
      </c>
      <c r="G266" s="165" t="s">
        <v>8</v>
      </c>
      <c r="H266" s="164">
        <f t="shared" si="17"/>
        <v>8041.3079999999973</v>
      </c>
      <c r="I266" s="165">
        <f t="shared" si="16"/>
        <v>3777.872000000003</v>
      </c>
      <c r="J266" s="177">
        <f t="shared" si="15"/>
        <v>301.57440087394951</v>
      </c>
      <c r="K266" s="240"/>
      <c r="L266" s="241"/>
    </row>
    <row r="267" spans="1:12">
      <c r="A267" s="298">
        <v>245</v>
      </c>
      <c r="B267" s="492" t="s">
        <v>152</v>
      </c>
      <c r="C267" s="493"/>
      <c r="D267" s="300">
        <f t="shared" si="19"/>
        <v>126</v>
      </c>
      <c r="E267" s="197">
        <v>32.049999999999997</v>
      </c>
      <c r="F267" s="164">
        <f t="shared" si="18"/>
        <v>31.651999999999997</v>
      </c>
      <c r="G267" s="165" t="s">
        <v>8</v>
      </c>
      <c r="H267" s="164">
        <f t="shared" si="17"/>
        <v>8072.9599999999973</v>
      </c>
      <c r="I267" s="165">
        <f t="shared" si="16"/>
        <v>3746.220000000003</v>
      </c>
      <c r="J267" s="177">
        <f t="shared" si="15"/>
        <v>302.26155636363637</v>
      </c>
      <c r="K267" s="240"/>
      <c r="L267" s="241"/>
    </row>
    <row r="268" spans="1:12">
      <c r="A268" s="298">
        <v>246</v>
      </c>
      <c r="B268" s="492" t="s">
        <v>152</v>
      </c>
      <c r="C268" s="493"/>
      <c r="D268" s="300">
        <f t="shared" si="19"/>
        <v>125</v>
      </c>
      <c r="E268" s="197">
        <v>33.659999999999997</v>
      </c>
      <c r="F268" s="164">
        <f t="shared" si="18"/>
        <v>33.261999999999993</v>
      </c>
      <c r="G268" s="165" t="s">
        <v>8</v>
      </c>
      <c r="H268" s="164">
        <f t="shared" si="17"/>
        <v>8106.221999999997</v>
      </c>
      <c r="I268" s="165">
        <f t="shared" si="16"/>
        <v>3712.9580000000033</v>
      </c>
      <c r="J268" s="177">
        <f t="shared" si="15"/>
        <v>302.98366447364396</v>
      </c>
      <c r="K268" s="240"/>
      <c r="L268" s="241"/>
    </row>
    <row r="269" spans="1:12">
      <c r="A269" s="298">
        <v>247</v>
      </c>
      <c r="B269" s="492" t="s">
        <v>152</v>
      </c>
      <c r="C269" s="493"/>
      <c r="D269" s="300">
        <f t="shared" si="19"/>
        <v>124</v>
      </c>
      <c r="E269" s="197">
        <v>33.200000000000003</v>
      </c>
      <c r="F269" s="164">
        <f t="shared" si="18"/>
        <v>32.802</v>
      </c>
      <c r="G269" s="165" t="s">
        <v>8</v>
      </c>
      <c r="H269" s="164">
        <f t="shared" si="17"/>
        <v>8139.0239999999967</v>
      </c>
      <c r="I269" s="165">
        <f t="shared" si="16"/>
        <v>3680.1560000000036</v>
      </c>
      <c r="J269" s="177">
        <f t="shared" si="15"/>
        <v>303.69578612070279</v>
      </c>
      <c r="K269" s="240"/>
      <c r="L269" s="241"/>
    </row>
    <row r="270" spans="1:12">
      <c r="A270" s="298">
        <v>248</v>
      </c>
      <c r="B270" s="492" t="s">
        <v>152</v>
      </c>
      <c r="C270" s="493"/>
      <c r="D270" s="300">
        <f t="shared" si="19"/>
        <v>123</v>
      </c>
      <c r="E270" s="197">
        <v>33.119999999999997</v>
      </c>
      <c r="F270" s="164">
        <f t="shared" si="18"/>
        <v>32.721999999999994</v>
      </c>
      <c r="G270" s="165" t="s">
        <v>8</v>
      </c>
      <c r="H270" s="164">
        <f t="shared" si="17"/>
        <v>8171.7459999999965</v>
      </c>
      <c r="I270" s="165">
        <f t="shared" si="16"/>
        <v>3647.4340000000038</v>
      </c>
      <c r="J270" s="177">
        <f t="shared" ref="J270:J333" si="20">$G$7+(H270*$C$8*$G$10/1000)</f>
        <v>304.40617099159658</v>
      </c>
      <c r="K270" s="240"/>
      <c r="L270" s="241"/>
    </row>
    <row r="271" spans="1:12">
      <c r="A271" s="298">
        <v>249</v>
      </c>
      <c r="B271" s="492" t="s">
        <v>152</v>
      </c>
      <c r="C271" s="493"/>
      <c r="D271" s="300">
        <f t="shared" si="19"/>
        <v>122</v>
      </c>
      <c r="E271" s="197">
        <v>33.58</v>
      </c>
      <c r="F271" s="164">
        <f t="shared" si="18"/>
        <v>33.181999999999995</v>
      </c>
      <c r="G271" s="165" t="s">
        <v>8</v>
      </c>
      <c r="H271" s="164">
        <f t="shared" si="17"/>
        <v>8204.9279999999962</v>
      </c>
      <c r="I271" s="165">
        <f t="shared" ref="I271:I342" si="21">IF(H271="","",$K$6-H271)</f>
        <v>3614.252000000004</v>
      </c>
      <c r="J271" s="177">
        <f t="shared" si="20"/>
        <v>305.12654232543923</v>
      </c>
      <c r="K271" s="240"/>
      <c r="L271" s="241"/>
    </row>
    <row r="272" spans="1:12">
      <c r="A272" s="298">
        <v>250</v>
      </c>
      <c r="B272" s="492" t="s">
        <v>152</v>
      </c>
      <c r="C272" s="493"/>
      <c r="D272" s="300">
        <f t="shared" si="19"/>
        <v>121</v>
      </c>
      <c r="E272" s="197">
        <v>32.880000000000003</v>
      </c>
      <c r="F272" s="164">
        <f t="shared" si="18"/>
        <v>32.481999999999999</v>
      </c>
      <c r="G272" s="165" t="s">
        <v>8</v>
      </c>
      <c r="H272" s="164">
        <f t="shared" si="17"/>
        <v>8237.4099999999962</v>
      </c>
      <c r="I272" s="165">
        <f t="shared" si="21"/>
        <v>3581.7700000000041</v>
      </c>
      <c r="J272" s="177">
        <f t="shared" si="20"/>
        <v>305.831716867838</v>
      </c>
      <c r="K272" s="240"/>
      <c r="L272" s="241"/>
    </row>
    <row r="273" spans="1:12">
      <c r="A273" s="298">
        <v>251</v>
      </c>
      <c r="B273" s="492" t="s">
        <v>152</v>
      </c>
      <c r="C273" s="493"/>
      <c r="D273" s="300">
        <f t="shared" si="19"/>
        <v>120</v>
      </c>
      <c r="E273" s="197">
        <v>32.74</v>
      </c>
      <c r="F273" s="164">
        <f t="shared" si="18"/>
        <v>32.341999999999999</v>
      </c>
      <c r="G273" s="165" t="s">
        <v>8</v>
      </c>
      <c r="H273" s="164">
        <f t="shared" si="17"/>
        <v>8269.7519999999968</v>
      </c>
      <c r="I273" s="165">
        <f t="shared" si="21"/>
        <v>3549.4280000000035</v>
      </c>
      <c r="J273" s="177">
        <f t="shared" si="20"/>
        <v>306.53385205194797</v>
      </c>
      <c r="K273" s="240"/>
      <c r="L273" s="241"/>
    </row>
    <row r="274" spans="1:12">
      <c r="A274" s="298">
        <v>252</v>
      </c>
      <c r="B274" s="492" t="s">
        <v>152</v>
      </c>
      <c r="C274" s="493"/>
      <c r="D274" s="300">
        <f t="shared" si="19"/>
        <v>119</v>
      </c>
      <c r="E274" s="197">
        <v>31.4</v>
      </c>
      <c r="F274" s="164">
        <f t="shared" si="18"/>
        <v>31.001999999999999</v>
      </c>
      <c r="G274" s="165" t="s">
        <v>8</v>
      </c>
      <c r="H274" s="164">
        <f t="shared" ref="H274:H337" si="22">IF(G274="IN",H273+F274,H273)</f>
        <v>8300.7539999999972</v>
      </c>
      <c r="I274" s="165">
        <f t="shared" si="21"/>
        <v>3518.4260000000031</v>
      </c>
      <c r="J274" s="177">
        <f t="shared" si="20"/>
        <v>307.2068962352941</v>
      </c>
      <c r="K274" s="240"/>
      <c r="L274" s="241"/>
    </row>
    <row r="275" spans="1:12">
      <c r="A275" s="298">
        <v>253</v>
      </c>
      <c r="B275" s="492" t="s">
        <v>152</v>
      </c>
      <c r="C275" s="493"/>
      <c r="D275" s="300">
        <f t="shared" si="19"/>
        <v>118</v>
      </c>
      <c r="E275" s="197">
        <v>33.799999999999997</v>
      </c>
      <c r="F275" s="164">
        <f t="shared" si="18"/>
        <v>33.401999999999994</v>
      </c>
      <c r="G275" s="165" t="s">
        <v>8</v>
      </c>
      <c r="H275" s="164">
        <f t="shared" si="22"/>
        <v>8334.1559999999972</v>
      </c>
      <c r="I275" s="165">
        <f t="shared" si="21"/>
        <v>3485.0240000000031</v>
      </c>
      <c r="J275" s="177">
        <f t="shared" si="20"/>
        <v>307.93204370359047</v>
      </c>
      <c r="K275" s="240"/>
      <c r="L275" s="241"/>
    </row>
    <row r="276" spans="1:12">
      <c r="A276" s="298">
        <v>254</v>
      </c>
      <c r="B276" s="492" t="s">
        <v>152</v>
      </c>
      <c r="C276" s="493"/>
      <c r="D276" s="300">
        <f t="shared" si="19"/>
        <v>117</v>
      </c>
      <c r="E276" s="197">
        <v>33.700000000000003</v>
      </c>
      <c r="F276" s="164">
        <f t="shared" si="18"/>
        <v>33.302</v>
      </c>
      <c r="G276" s="165" t="s">
        <v>8</v>
      </c>
      <c r="H276" s="164">
        <f t="shared" si="22"/>
        <v>8367.4579999999969</v>
      </c>
      <c r="I276" s="165">
        <f t="shared" si="21"/>
        <v>3451.7220000000034</v>
      </c>
      <c r="J276" s="177">
        <f t="shared" si="20"/>
        <v>308.6550202016806</v>
      </c>
      <c r="K276" s="240"/>
      <c r="L276" s="241"/>
    </row>
    <row r="277" spans="1:12">
      <c r="A277" s="298">
        <v>255</v>
      </c>
      <c r="B277" s="492" t="s">
        <v>152</v>
      </c>
      <c r="C277" s="493"/>
      <c r="D277" s="300">
        <f t="shared" si="19"/>
        <v>116</v>
      </c>
      <c r="E277" s="197">
        <v>33.44</v>
      </c>
      <c r="F277" s="164">
        <f t="shared" si="18"/>
        <v>33.041999999999994</v>
      </c>
      <c r="G277" s="165" t="s">
        <v>8</v>
      </c>
      <c r="H277" s="164">
        <f t="shared" si="22"/>
        <v>8400.4999999999964</v>
      </c>
      <c r="I277" s="165">
        <f t="shared" si="21"/>
        <v>3418.6800000000039</v>
      </c>
      <c r="J277" s="177">
        <f t="shared" si="20"/>
        <v>309.37235217723446</v>
      </c>
      <c r="K277" s="240"/>
      <c r="L277" s="241"/>
    </row>
    <row r="278" spans="1:12">
      <c r="A278" s="298">
        <v>256</v>
      </c>
      <c r="B278" s="492" t="s">
        <v>152</v>
      </c>
      <c r="C278" s="493"/>
      <c r="D278" s="300">
        <f t="shared" si="19"/>
        <v>115</v>
      </c>
      <c r="E278" s="197">
        <v>33.6</v>
      </c>
      <c r="F278" s="164">
        <f t="shared" si="18"/>
        <v>33.201999999999998</v>
      </c>
      <c r="G278" s="165" t="s">
        <v>8</v>
      </c>
      <c r="H278" s="164">
        <f t="shared" si="22"/>
        <v>8433.7019999999957</v>
      </c>
      <c r="I278" s="165">
        <f t="shared" si="21"/>
        <v>3385.4780000000046</v>
      </c>
      <c r="J278" s="177">
        <f t="shared" si="20"/>
        <v>310.09315770511836</v>
      </c>
      <c r="K278" s="240"/>
      <c r="L278" s="241"/>
    </row>
    <row r="279" spans="1:12">
      <c r="A279" s="298">
        <v>257</v>
      </c>
      <c r="B279" s="492" t="s">
        <v>152</v>
      </c>
      <c r="C279" s="493"/>
      <c r="D279" s="300">
        <f t="shared" si="19"/>
        <v>114</v>
      </c>
      <c r="E279" s="197">
        <v>33.75</v>
      </c>
      <c r="F279" s="164">
        <f t="shared" ref="F279:F342" si="23">E279-($C$10)</f>
        <v>33.351999999999997</v>
      </c>
      <c r="G279" s="165" t="s">
        <v>8</v>
      </c>
      <c r="H279" s="164">
        <f t="shared" si="22"/>
        <v>8467.0539999999964</v>
      </c>
      <c r="I279" s="165">
        <f t="shared" si="21"/>
        <v>3352.1260000000038</v>
      </c>
      <c r="J279" s="177">
        <f t="shared" si="20"/>
        <v>310.81721968831164</v>
      </c>
      <c r="K279" s="240"/>
      <c r="L279" s="241"/>
    </row>
    <row r="280" spans="1:12">
      <c r="A280" s="298">
        <v>258</v>
      </c>
      <c r="B280" s="492" t="s">
        <v>152</v>
      </c>
      <c r="C280" s="493"/>
      <c r="D280" s="300">
        <f t="shared" si="19"/>
        <v>113</v>
      </c>
      <c r="E280" s="197">
        <v>33.72</v>
      </c>
      <c r="F280" s="164">
        <f t="shared" si="23"/>
        <v>33.321999999999996</v>
      </c>
      <c r="G280" s="165" t="s">
        <v>8</v>
      </c>
      <c r="H280" s="164">
        <f t="shared" si="22"/>
        <v>8500.3759999999966</v>
      </c>
      <c r="I280" s="165">
        <f t="shared" si="21"/>
        <v>3318.8040000000037</v>
      </c>
      <c r="J280" s="177">
        <f t="shared" si="20"/>
        <v>311.54063038044308</v>
      </c>
      <c r="K280" s="518"/>
      <c r="L280" s="519"/>
    </row>
    <row r="281" spans="1:12">
      <c r="A281" s="298">
        <v>259</v>
      </c>
      <c r="B281" s="492" t="s">
        <v>152</v>
      </c>
      <c r="C281" s="493"/>
      <c r="D281" s="300">
        <f t="shared" ref="D281:D341" si="24">D280-1</f>
        <v>112</v>
      </c>
      <c r="E281" s="197">
        <v>33.520000000000003</v>
      </c>
      <c r="F281" s="164">
        <f t="shared" si="23"/>
        <v>33.122</v>
      </c>
      <c r="G281" s="165" t="s">
        <v>8</v>
      </c>
      <c r="H281" s="164">
        <f t="shared" si="22"/>
        <v>8533.497999999996</v>
      </c>
      <c r="I281" s="165">
        <f t="shared" si="21"/>
        <v>3285.6820000000043</v>
      </c>
      <c r="J281" s="177">
        <f t="shared" si="20"/>
        <v>312.25969913216187</v>
      </c>
      <c r="K281" s="518"/>
      <c r="L281" s="519"/>
    </row>
    <row r="282" spans="1:12">
      <c r="A282" s="298">
        <v>260</v>
      </c>
      <c r="B282" s="492" t="s">
        <v>152</v>
      </c>
      <c r="C282" s="493"/>
      <c r="D282" s="300">
        <f t="shared" si="24"/>
        <v>111</v>
      </c>
      <c r="E282" s="197">
        <v>33.880000000000003</v>
      </c>
      <c r="F282" s="164">
        <f t="shared" si="23"/>
        <v>33.481999999999999</v>
      </c>
      <c r="G282" s="165" t="s">
        <v>8</v>
      </c>
      <c r="H282" s="164">
        <f t="shared" si="22"/>
        <v>8566.9799999999959</v>
      </c>
      <c r="I282" s="165">
        <f t="shared" si="21"/>
        <v>3252.2000000000044</v>
      </c>
      <c r="J282" s="177">
        <f t="shared" si="20"/>
        <v>312.98658337662334</v>
      </c>
      <c r="K282" s="518"/>
      <c r="L282" s="519"/>
    </row>
    <row r="283" spans="1:12">
      <c r="A283" s="298">
        <v>261</v>
      </c>
      <c r="B283" s="492" t="s">
        <v>152</v>
      </c>
      <c r="C283" s="493"/>
      <c r="D283" s="300">
        <f t="shared" si="24"/>
        <v>110</v>
      </c>
      <c r="E283" s="197">
        <v>33.61</v>
      </c>
      <c r="F283" s="164">
        <f t="shared" si="23"/>
        <v>33.211999999999996</v>
      </c>
      <c r="G283" s="165" t="s">
        <v>8</v>
      </c>
      <c r="H283" s="164">
        <f t="shared" si="22"/>
        <v>8600.1919999999955</v>
      </c>
      <c r="I283" s="165">
        <f t="shared" si="21"/>
        <v>3218.9880000000048</v>
      </c>
      <c r="J283" s="177">
        <f t="shared" si="20"/>
        <v>313.70760600152778</v>
      </c>
      <c r="K283" s="518"/>
      <c r="L283" s="519"/>
    </row>
    <row r="284" spans="1:12">
      <c r="A284" s="298">
        <v>262</v>
      </c>
      <c r="B284" s="492" t="s">
        <v>152</v>
      </c>
      <c r="C284" s="493"/>
      <c r="D284" s="300">
        <f t="shared" si="24"/>
        <v>109</v>
      </c>
      <c r="E284" s="197">
        <v>33.450000000000003</v>
      </c>
      <c r="F284" s="164">
        <f t="shared" si="23"/>
        <v>33.052</v>
      </c>
      <c r="G284" s="165" t="s">
        <v>8</v>
      </c>
      <c r="H284" s="164">
        <f t="shared" si="22"/>
        <v>8633.2439999999951</v>
      </c>
      <c r="I284" s="165">
        <f t="shared" si="21"/>
        <v>3185.9360000000052</v>
      </c>
      <c r="J284" s="177">
        <f t="shared" si="20"/>
        <v>314.42515507410229</v>
      </c>
      <c r="K284" s="518"/>
      <c r="L284" s="519"/>
    </row>
    <row r="285" spans="1:12">
      <c r="A285" s="298">
        <v>263</v>
      </c>
      <c r="B285" s="492" t="s">
        <v>152</v>
      </c>
      <c r="C285" s="493"/>
      <c r="D285" s="300">
        <f t="shared" si="24"/>
        <v>108</v>
      </c>
      <c r="E285" s="197">
        <v>33.71</v>
      </c>
      <c r="F285" s="164">
        <f t="shared" si="23"/>
        <v>33.311999999999998</v>
      </c>
      <c r="G285" s="165" t="s">
        <v>8</v>
      </c>
      <c r="H285" s="164">
        <f t="shared" si="22"/>
        <v>8666.555999999995</v>
      </c>
      <c r="I285" s="165">
        <f t="shared" si="21"/>
        <v>3152.6240000000053</v>
      </c>
      <c r="J285" s="177">
        <f t="shared" si="20"/>
        <v>315.14834866921308</v>
      </c>
      <c r="K285" s="518"/>
      <c r="L285" s="519"/>
    </row>
    <row r="286" spans="1:12">
      <c r="A286" s="298">
        <v>264</v>
      </c>
      <c r="B286" s="492" t="s">
        <v>152</v>
      </c>
      <c r="C286" s="493"/>
      <c r="D286" s="300">
        <f t="shared" si="24"/>
        <v>107</v>
      </c>
      <c r="E286" s="197">
        <v>33.5</v>
      </c>
      <c r="F286" s="164">
        <f t="shared" si="23"/>
        <v>33.101999999999997</v>
      </c>
      <c r="G286" s="165" t="s">
        <v>8</v>
      </c>
      <c r="H286" s="164">
        <f t="shared" si="22"/>
        <v>8699.6579999999958</v>
      </c>
      <c r="I286" s="165">
        <f t="shared" si="21"/>
        <v>3119.5220000000045</v>
      </c>
      <c r="J286" s="177">
        <f t="shared" si="20"/>
        <v>315.86698322689068</v>
      </c>
      <c r="K286" s="518"/>
      <c r="L286" s="519"/>
    </row>
    <row r="287" spans="1:12">
      <c r="A287" s="298">
        <v>265</v>
      </c>
      <c r="B287" s="492" t="s">
        <v>152</v>
      </c>
      <c r="C287" s="493"/>
      <c r="D287" s="300">
        <f t="shared" si="24"/>
        <v>106</v>
      </c>
      <c r="E287" s="197">
        <v>33.83</v>
      </c>
      <c r="F287" s="164">
        <f t="shared" si="23"/>
        <v>33.431999999999995</v>
      </c>
      <c r="G287" s="165" t="s">
        <v>8</v>
      </c>
      <c r="H287" s="164">
        <f t="shared" si="22"/>
        <v>8733.0899999999965</v>
      </c>
      <c r="I287" s="165">
        <f t="shared" si="21"/>
        <v>3086.0900000000038</v>
      </c>
      <c r="J287" s="177">
        <f t="shared" si="20"/>
        <v>316.59278198624901</v>
      </c>
      <c r="L287" s="158"/>
    </row>
    <row r="288" spans="1:12">
      <c r="A288" s="298">
        <v>266</v>
      </c>
      <c r="B288" s="492" t="s">
        <v>152</v>
      </c>
      <c r="C288" s="493"/>
      <c r="D288" s="300">
        <f t="shared" si="24"/>
        <v>105</v>
      </c>
      <c r="E288" s="197">
        <v>33.74</v>
      </c>
      <c r="F288" s="164">
        <f t="shared" si="23"/>
        <v>33.341999999999999</v>
      </c>
      <c r="G288" s="165" t="s">
        <v>8</v>
      </c>
      <c r="H288" s="164">
        <f t="shared" si="22"/>
        <v>8766.4319999999971</v>
      </c>
      <c r="I288" s="165">
        <f t="shared" si="21"/>
        <v>3052.7480000000032</v>
      </c>
      <c r="J288" s="177">
        <f t="shared" si="20"/>
        <v>317.31662687242164</v>
      </c>
      <c r="K288" s="518"/>
      <c r="L288" s="519"/>
    </row>
    <row r="289" spans="1:12">
      <c r="A289" s="298">
        <v>267</v>
      </c>
      <c r="B289" s="492" t="s">
        <v>152</v>
      </c>
      <c r="C289" s="493"/>
      <c r="D289" s="300">
        <f t="shared" si="24"/>
        <v>104</v>
      </c>
      <c r="E289" s="197">
        <v>33.61</v>
      </c>
      <c r="F289" s="164">
        <f t="shared" si="23"/>
        <v>33.211999999999996</v>
      </c>
      <c r="G289" s="165" t="s">
        <v>8</v>
      </c>
      <c r="H289" s="164">
        <f t="shared" si="22"/>
        <v>8799.6439999999966</v>
      </c>
      <c r="I289" s="165">
        <f t="shared" si="21"/>
        <v>3019.5360000000037</v>
      </c>
      <c r="J289" s="177">
        <f t="shared" si="20"/>
        <v>318.03764949732619</v>
      </c>
      <c r="K289" s="518"/>
      <c r="L289" s="519"/>
    </row>
    <row r="290" spans="1:12">
      <c r="A290" s="298">
        <v>268</v>
      </c>
      <c r="B290" s="492" t="s">
        <v>152</v>
      </c>
      <c r="C290" s="493"/>
      <c r="D290" s="300">
        <f t="shared" si="24"/>
        <v>103</v>
      </c>
      <c r="E290" s="197">
        <v>33.68</v>
      </c>
      <c r="F290" s="164">
        <f t="shared" si="23"/>
        <v>33.281999999999996</v>
      </c>
      <c r="G290" s="165" t="s">
        <v>8</v>
      </c>
      <c r="H290" s="164">
        <f t="shared" si="22"/>
        <v>8832.9259999999958</v>
      </c>
      <c r="I290" s="165">
        <f t="shared" si="21"/>
        <v>2986.2540000000045</v>
      </c>
      <c r="J290" s="177">
        <f t="shared" si="20"/>
        <v>318.76019180137502</v>
      </c>
      <c r="K290" s="518"/>
      <c r="L290" s="519"/>
    </row>
    <row r="291" spans="1:12">
      <c r="A291" s="298">
        <v>269</v>
      </c>
      <c r="B291" s="492" t="s">
        <v>152</v>
      </c>
      <c r="C291" s="493"/>
      <c r="D291" s="300">
        <f t="shared" si="24"/>
        <v>102</v>
      </c>
      <c r="E291" s="197">
        <v>33.39</v>
      </c>
      <c r="F291" s="164">
        <f t="shared" si="23"/>
        <v>32.991999999999997</v>
      </c>
      <c r="G291" s="165" t="s">
        <v>8</v>
      </c>
      <c r="H291" s="164">
        <f t="shared" si="22"/>
        <v>8865.917999999996</v>
      </c>
      <c r="I291" s="165">
        <f t="shared" si="21"/>
        <v>2953.2620000000043</v>
      </c>
      <c r="J291" s="177">
        <f t="shared" si="20"/>
        <v>319.47643829182573</v>
      </c>
      <c r="K291" s="518"/>
      <c r="L291" s="519"/>
    </row>
    <row r="292" spans="1:12">
      <c r="A292" s="298">
        <v>270</v>
      </c>
      <c r="B292" s="492" t="s">
        <v>152</v>
      </c>
      <c r="C292" s="493"/>
      <c r="D292" s="300">
        <f t="shared" si="24"/>
        <v>101</v>
      </c>
      <c r="E292" s="197">
        <v>33.44</v>
      </c>
      <c r="F292" s="164">
        <f t="shared" si="23"/>
        <v>33.041999999999994</v>
      </c>
      <c r="G292" s="165" t="s">
        <v>8</v>
      </c>
      <c r="H292" s="164">
        <f t="shared" si="22"/>
        <v>8898.9599999999955</v>
      </c>
      <c r="I292" s="165">
        <f t="shared" si="21"/>
        <v>2920.2200000000048</v>
      </c>
      <c r="J292" s="177">
        <f t="shared" si="20"/>
        <v>320.19377026737959</v>
      </c>
      <c r="K292" s="518"/>
      <c r="L292" s="519"/>
    </row>
    <row r="293" spans="1:12">
      <c r="A293" s="298">
        <v>271</v>
      </c>
      <c r="B293" s="492" t="s">
        <v>152</v>
      </c>
      <c r="C293" s="493"/>
      <c r="D293" s="300">
        <f t="shared" si="24"/>
        <v>100</v>
      </c>
      <c r="E293" s="197">
        <v>33.5</v>
      </c>
      <c r="F293" s="164">
        <f t="shared" si="23"/>
        <v>33.101999999999997</v>
      </c>
      <c r="G293" s="165" t="s">
        <v>8</v>
      </c>
      <c r="H293" s="164">
        <f t="shared" si="22"/>
        <v>8932.0619999999963</v>
      </c>
      <c r="I293" s="165">
        <f t="shared" si="21"/>
        <v>2887.118000000004</v>
      </c>
      <c r="J293" s="177">
        <f t="shared" si="20"/>
        <v>320.91240482505725</v>
      </c>
      <c r="K293" s="518"/>
      <c r="L293" s="519"/>
    </row>
    <row r="294" spans="1:12">
      <c r="A294" s="298">
        <v>272</v>
      </c>
      <c r="B294" s="492" t="s">
        <v>152</v>
      </c>
      <c r="C294" s="493"/>
      <c r="D294" s="300">
        <f t="shared" si="24"/>
        <v>99</v>
      </c>
      <c r="E294" s="197">
        <v>33.700000000000003</v>
      </c>
      <c r="F294" s="164">
        <f t="shared" si="23"/>
        <v>33.302</v>
      </c>
      <c r="G294" s="165" t="s">
        <v>8</v>
      </c>
      <c r="H294" s="164">
        <f t="shared" si="22"/>
        <v>8965.3639999999959</v>
      </c>
      <c r="I294" s="165">
        <f t="shared" si="21"/>
        <v>2853.8160000000044</v>
      </c>
      <c r="J294" s="177">
        <f t="shared" si="20"/>
        <v>321.63538132314739</v>
      </c>
      <c r="K294" s="518"/>
      <c r="L294" s="519"/>
    </row>
    <row r="295" spans="1:12">
      <c r="A295" s="298">
        <v>273</v>
      </c>
      <c r="B295" s="492" t="s">
        <v>152</v>
      </c>
      <c r="C295" s="493"/>
      <c r="D295" s="300">
        <f t="shared" si="24"/>
        <v>98</v>
      </c>
      <c r="E295" s="197">
        <v>33.75</v>
      </c>
      <c r="F295" s="164">
        <f t="shared" si="23"/>
        <v>33.351999999999997</v>
      </c>
      <c r="G295" s="165" t="s">
        <v>8</v>
      </c>
      <c r="H295" s="164">
        <f t="shared" si="22"/>
        <v>8998.7159999999967</v>
      </c>
      <c r="I295" s="165">
        <f t="shared" si="21"/>
        <v>2820.4640000000036</v>
      </c>
      <c r="J295" s="177">
        <f t="shared" si="20"/>
        <v>322.35944330634072</v>
      </c>
      <c r="K295" s="518"/>
      <c r="L295" s="519"/>
    </row>
    <row r="296" spans="1:12">
      <c r="A296" s="298">
        <v>274</v>
      </c>
      <c r="B296" s="492" t="s">
        <v>152</v>
      </c>
      <c r="C296" s="493"/>
      <c r="D296" s="300">
        <f t="shared" si="24"/>
        <v>97</v>
      </c>
      <c r="E296" s="197">
        <v>33.81</v>
      </c>
      <c r="F296" s="164">
        <f t="shared" si="23"/>
        <v>33.411999999999999</v>
      </c>
      <c r="G296" s="165" t="s">
        <v>8</v>
      </c>
      <c r="H296" s="164">
        <f t="shared" si="22"/>
        <v>9032.127999999997</v>
      </c>
      <c r="I296" s="165">
        <f t="shared" si="21"/>
        <v>2787.0520000000033</v>
      </c>
      <c r="J296" s="177">
        <f t="shared" si="20"/>
        <v>323.08480787165774</v>
      </c>
      <c r="K296" s="518"/>
      <c r="L296" s="519"/>
    </row>
    <row r="297" spans="1:12">
      <c r="A297" s="298">
        <v>275</v>
      </c>
      <c r="B297" s="492" t="s">
        <v>152</v>
      </c>
      <c r="C297" s="493"/>
      <c r="D297" s="300">
        <f t="shared" si="24"/>
        <v>96</v>
      </c>
      <c r="E297" s="197">
        <v>33.5</v>
      </c>
      <c r="F297" s="164">
        <f t="shared" si="23"/>
        <v>33.101999999999997</v>
      </c>
      <c r="G297" s="165" t="s">
        <v>8</v>
      </c>
      <c r="H297" s="164">
        <f t="shared" si="22"/>
        <v>9065.2299999999977</v>
      </c>
      <c r="I297" s="165">
        <f t="shared" si="21"/>
        <v>2753.9500000000025</v>
      </c>
      <c r="J297" s="177">
        <f t="shared" si="20"/>
        <v>323.80344242933535</v>
      </c>
      <c r="K297" s="518"/>
      <c r="L297" s="519"/>
    </row>
    <row r="298" spans="1:12">
      <c r="A298" s="298">
        <v>276</v>
      </c>
      <c r="B298" s="492" t="s">
        <v>152</v>
      </c>
      <c r="C298" s="493"/>
      <c r="D298" s="300">
        <f t="shared" si="24"/>
        <v>95</v>
      </c>
      <c r="E298" s="197">
        <v>33.72</v>
      </c>
      <c r="F298" s="164">
        <f t="shared" si="23"/>
        <v>33.321999999999996</v>
      </c>
      <c r="G298" s="165" t="s">
        <v>8</v>
      </c>
      <c r="H298" s="164">
        <f t="shared" si="22"/>
        <v>9098.5519999999979</v>
      </c>
      <c r="I298" s="165">
        <f t="shared" si="21"/>
        <v>2720.6280000000024</v>
      </c>
      <c r="J298" s="177">
        <f t="shared" si="20"/>
        <v>324.52685312146673</v>
      </c>
      <c r="K298" s="518"/>
      <c r="L298" s="519"/>
    </row>
    <row r="299" spans="1:12">
      <c r="A299" s="298">
        <v>277</v>
      </c>
      <c r="B299" s="492" t="s">
        <v>152</v>
      </c>
      <c r="C299" s="493"/>
      <c r="D299" s="300">
        <f t="shared" si="24"/>
        <v>94</v>
      </c>
      <c r="E299" s="197">
        <v>33.479999999999997</v>
      </c>
      <c r="F299" s="164">
        <f t="shared" si="23"/>
        <v>33.081999999999994</v>
      </c>
      <c r="G299" s="165" t="s">
        <v>8</v>
      </c>
      <c r="H299" s="164">
        <f t="shared" si="22"/>
        <v>9131.6339999999982</v>
      </c>
      <c r="I299" s="165">
        <f t="shared" si="21"/>
        <v>2687.5460000000021</v>
      </c>
      <c r="J299" s="177">
        <f t="shared" si="20"/>
        <v>325.24505348510309</v>
      </c>
      <c r="K299" s="518"/>
      <c r="L299" s="519"/>
    </row>
    <row r="300" spans="1:12">
      <c r="A300" s="298">
        <v>278</v>
      </c>
      <c r="B300" s="492" t="s">
        <v>152</v>
      </c>
      <c r="C300" s="493"/>
      <c r="D300" s="300">
        <f t="shared" si="24"/>
        <v>93</v>
      </c>
      <c r="E300" s="197">
        <v>33.54</v>
      </c>
      <c r="F300" s="164">
        <f t="shared" si="23"/>
        <v>33.141999999999996</v>
      </c>
      <c r="G300" s="165" t="s">
        <v>8</v>
      </c>
      <c r="H300" s="164">
        <f t="shared" si="22"/>
        <v>9164.775999999998</v>
      </c>
      <c r="I300" s="165">
        <f t="shared" si="21"/>
        <v>2654.4040000000023</v>
      </c>
      <c r="J300" s="177">
        <f t="shared" si="20"/>
        <v>325.96455643086324</v>
      </c>
      <c r="K300" s="518"/>
      <c r="L300" s="519"/>
    </row>
    <row r="301" spans="1:12">
      <c r="A301" s="298">
        <v>279</v>
      </c>
      <c r="B301" s="492" t="s">
        <v>152</v>
      </c>
      <c r="C301" s="493"/>
      <c r="D301" s="300">
        <f t="shared" si="24"/>
        <v>92</v>
      </c>
      <c r="E301" s="197">
        <v>33.340000000000003</v>
      </c>
      <c r="F301" s="164">
        <f t="shared" si="23"/>
        <v>32.942</v>
      </c>
      <c r="G301" s="165" t="s">
        <v>8</v>
      </c>
      <c r="H301" s="164">
        <f t="shared" si="22"/>
        <v>9197.7179999999971</v>
      </c>
      <c r="I301" s="165">
        <f t="shared" si="21"/>
        <v>2621.4620000000032</v>
      </c>
      <c r="J301" s="177">
        <f t="shared" si="20"/>
        <v>326.67971743621081</v>
      </c>
      <c r="K301" s="518"/>
      <c r="L301" s="519"/>
    </row>
    <row r="302" spans="1:12">
      <c r="A302" s="298">
        <v>280</v>
      </c>
      <c r="B302" s="492" t="s">
        <v>152</v>
      </c>
      <c r="C302" s="493"/>
      <c r="D302" s="300">
        <f t="shared" si="24"/>
        <v>91</v>
      </c>
      <c r="E302" s="197">
        <v>33.85</v>
      </c>
      <c r="F302" s="164">
        <f t="shared" si="23"/>
        <v>33.451999999999998</v>
      </c>
      <c r="G302" s="165" t="s">
        <v>8</v>
      </c>
      <c r="H302" s="164">
        <f t="shared" si="22"/>
        <v>9231.1699999999964</v>
      </c>
      <c r="I302" s="165">
        <f t="shared" si="21"/>
        <v>2588.0100000000039</v>
      </c>
      <c r="J302" s="177">
        <f t="shared" si="20"/>
        <v>327.40595038961033</v>
      </c>
      <c r="K302" s="518"/>
      <c r="L302" s="519"/>
    </row>
    <row r="303" spans="1:12">
      <c r="A303" s="298">
        <v>281</v>
      </c>
      <c r="B303" s="492" t="s">
        <v>152</v>
      </c>
      <c r="C303" s="493"/>
      <c r="D303" s="300">
        <f t="shared" si="24"/>
        <v>90</v>
      </c>
      <c r="E303" s="197">
        <v>33.69</v>
      </c>
      <c r="F303" s="164">
        <f t="shared" si="23"/>
        <v>33.291999999999994</v>
      </c>
      <c r="G303" s="165" t="s">
        <v>8</v>
      </c>
      <c r="H303" s="164">
        <f t="shared" si="22"/>
        <v>9264.4619999999959</v>
      </c>
      <c r="I303" s="165">
        <f t="shared" si="21"/>
        <v>2554.7180000000044</v>
      </c>
      <c r="J303" s="177">
        <f t="shared" si="20"/>
        <v>328.12870979067986</v>
      </c>
      <c r="K303" s="518"/>
      <c r="L303" s="519"/>
    </row>
    <row r="304" spans="1:12">
      <c r="A304" s="298">
        <v>282</v>
      </c>
      <c r="B304" s="492" t="s">
        <v>152</v>
      </c>
      <c r="C304" s="493"/>
      <c r="D304" s="300">
        <f t="shared" si="24"/>
        <v>89</v>
      </c>
      <c r="E304" s="197">
        <v>33.549999999999997</v>
      </c>
      <c r="F304" s="164">
        <f t="shared" si="23"/>
        <v>33.151999999999994</v>
      </c>
      <c r="G304" s="165" t="s">
        <v>8</v>
      </c>
      <c r="H304" s="164">
        <f t="shared" si="22"/>
        <v>9297.6139999999959</v>
      </c>
      <c r="I304" s="165">
        <f t="shared" si="21"/>
        <v>2521.5660000000044</v>
      </c>
      <c r="J304" s="177">
        <f t="shared" si="20"/>
        <v>328.84842983346061</v>
      </c>
      <c r="K304" s="518"/>
      <c r="L304" s="519"/>
    </row>
    <row r="305" spans="1:12">
      <c r="A305" s="298">
        <v>283</v>
      </c>
      <c r="B305" s="492" t="s">
        <v>152</v>
      </c>
      <c r="C305" s="493"/>
      <c r="D305" s="300">
        <f t="shared" si="24"/>
        <v>88</v>
      </c>
      <c r="E305" s="197">
        <v>33.299999999999997</v>
      </c>
      <c r="F305" s="164">
        <f t="shared" si="23"/>
        <v>32.901999999999994</v>
      </c>
      <c r="G305" s="165" t="s">
        <v>8</v>
      </c>
      <c r="H305" s="164">
        <f t="shared" si="22"/>
        <v>9330.515999999996</v>
      </c>
      <c r="I305" s="165">
        <f t="shared" si="21"/>
        <v>2488.6640000000043</v>
      </c>
      <c r="J305" s="177">
        <f t="shared" si="20"/>
        <v>329.56272245072569</v>
      </c>
      <c r="K305" s="518"/>
      <c r="L305" s="519"/>
    </row>
    <row r="306" spans="1:12">
      <c r="A306" s="298">
        <v>284</v>
      </c>
      <c r="B306" s="492" t="s">
        <v>152</v>
      </c>
      <c r="C306" s="493"/>
      <c r="D306" s="300">
        <f t="shared" si="24"/>
        <v>87</v>
      </c>
      <c r="E306" s="197">
        <v>33.94</v>
      </c>
      <c r="F306" s="164">
        <f t="shared" si="23"/>
        <v>33.541999999999994</v>
      </c>
      <c r="G306" s="165" t="s">
        <v>8</v>
      </c>
      <c r="H306" s="164">
        <f t="shared" si="22"/>
        <v>9364.0579999999954</v>
      </c>
      <c r="I306" s="165">
        <f t="shared" si="21"/>
        <v>2455.1220000000048</v>
      </c>
      <c r="J306" s="177">
        <f t="shared" si="20"/>
        <v>330.29090927731085</v>
      </c>
      <c r="K306" s="518"/>
      <c r="L306" s="519"/>
    </row>
    <row r="307" spans="1:12">
      <c r="A307" s="298">
        <v>285</v>
      </c>
      <c r="B307" s="492" t="s">
        <v>152</v>
      </c>
      <c r="C307" s="493"/>
      <c r="D307" s="300">
        <f t="shared" si="24"/>
        <v>86</v>
      </c>
      <c r="E307" s="197">
        <v>33.549999999999997</v>
      </c>
      <c r="F307" s="164">
        <f t="shared" si="23"/>
        <v>33.151999999999994</v>
      </c>
      <c r="G307" s="165" t="s">
        <v>8</v>
      </c>
      <c r="H307" s="164">
        <f t="shared" si="22"/>
        <v>9397.2099999999955</v>
      </c>
      <c r="I307" s="165">
        <f t="shared" si="21"/>
        <v>2421.9700000000048</v>
      </c>
      <c r="J307" s="177">
        <f t="shared" si="20"/>
        <v>331.0106293200916</v>
      </c>
      <c r="K307" s="518"/>
      <c r="L307" s="519"/>
    </row>
    <row r="308" spans="1:12">
      <c r="A308" s="298">
        <v>286</v>
      </c>
      <c r="B308" s="492" t="s">
        <v>152</v>
      </c>
      <c r="C308" s="493"/>
      <c r="D308" s="300">
        <f t="shared" si="24"/>
        <v>85</v>
      </c>
      <c r="E308" s="197">
        <v>33.630000000000003</v>
      </c>
      <c r="F308" s="164">
        <f t="shared" si="23"/>
        <v>33.231999999999999</v>
      </c>
      <c r="G308" s="165" t="s">
        <v>8</v>
      </c>
      <c r="H308" s="164">
        <f t="shared" si="22"/>
        <v>9430.4419999999955</v>
      </c>
      <c r="I308" s="165">
        <f t="shared" si="21"/>
        <v>2388.7380000000048</v>
      </c>
      <c r="J308" s="177">
        <f t="shared" si="20"/>
        <v>331.73208613903739</v>
      </c>
      <c r="K308" s="518"/>
      <c r="L308" s="519"/>
    </row>
    <row r="309" spans="1:12">
      <c r="A309" s="298">
        <v>287</v>
      </c>
      <c r="B309" s="492" t="s">
        <v>152</v>
      </c>
      <c r="C309" s="493"/>
      <c r="D309" s="300">
        <f t="shared" si="24"/>
        <v>84</v>
      </c>
      <c r="E309" s="197">
        <v>33.78</v>
      </c>
      <c r="F309" s="164">
        <f t="shared" si="23"/>
        <v>33.381999999999998</v>
      </c>
      <c r="G309" s="165" t="s">
        <v>8</v>
      </c>
      <c r="H309" s="164">
        <f t="shared" si="22"/>
        <v>9463.8239999999951</v>
      </c>
      <c r="I309" s="165">
        <f t="shared" si="21"/>
        <v>2355.3560000000052</v>
      </c>
      <c r="J309" s="177">
        <f t="shared" si="20"/>
        <v>332.45679941329252</v>
      </c>
      <c r="K309" s="518"/>
      <c r="L309" s="519"/>
    </row>
    <row r="310" spans="1:12">
      <c r="A310" s="298">
        <v>288</v>
      </c>
      <c r="B310" s="492" t="s">
        <v>152</v>
      </c>
      <c r="C310" s="493"/>
      <c r="D310" s="300">
        <f t="shared" si="24"/>
        <v>83</v>
      </c>
      <c r="E310" s="197">
        <v>33.81</v>
      </c>
      <c r="F310" s="164">
        <f t="shared" si="23"/>
        <v>33.411999999999999</v>
      </c>
      <c r="G310" s="165" t="s">
        <v>8</v>
      </c>
      <c r="H310" s="164">
        <f t="shared" si="22"/>
        <v>9497.2359999999953</v>
      </c>
      <c r="I310" s="165">
        <f t="shared" si="21"/>
        <v>2321.944000000005</v>
      </c>
      <c r="J310" s="177">
        <f t="shared" si="20"/>
        <v>333.18216397860954</v>
      </c>
      <c r="K310" s="518"/>
      <c r="L310" s="519"/>
    </row>
    <row r="311" spans="1:12">
      <c r="A311" s="298">
        <v>289</v>
      </c>
      <c r="B311" s="492" t="s">
        <v>152</v>
      </c>
      <c r="C311" s="493"/>
      <c r="D311" s="300">
        <f t="shared" si="24"/>
        <v>82</v>
      </c>
      <c r="E311" s="197">
        <v>33.909999999999997</v>
      </c>
      <c r="F311" s="164">
        <f t="shared" si="23"/>
        <v>33.511999999999993</v>
      </c>
      <c r="G311" s="165" t="s">
        <v>8</v>
      </c>
      <c r="H311" s="164">
        <f t="shared" si="22"/>
        <v>9530.747999999996</v>
      </c>
      <c r="I311" s="165">
        <f t="shared" si="21"/>
        <v>2288.4320000000043</v>
      </c>
      <c r="J311" s="177">
        <f t="shared" si="20"/>
        <v>333.90969951413285</v>
      </c>
      <c r="K311" s="518"/>
      <c r="L311" s="519"/>
    </row>
    <row r="312" spans="1:12">
      <c r="A312" s="298">
        <v>290</v>
      </c>
      <c r="B312" s="492" t="s">
        <v>152</v>
      </c>
      <c r="C312" s="493"/>
      <c r="D312" s="300">
        <f t="shared" si="24"/>
        <v>81</v>
      </c>
      <c r="E312" s="197">
        <v>33.700000000000003</v>
      </c>
      <c r="F312" s="164">
        <f t="shared" si="23"/>
        <v>33.302</v>
      </c>
      <c r="G312" s="165" t="s">
        <v>8</v>
      </c>
      <c r="H312" s="164">
        <f t="shared" si="22"/>
        <v>9564.0499999999956</v>
      </c>
      <c r="I312" s="165">
        <f t="shared" si="21"/>
        <v>2255.1300000000047</v>
      </c>
      <c r="J312" s="177">
        <f t="shared" si="20"/>
        <v>334.63267601222299</v>
      </c>
      <c r="K312" s="518"/>
      <c r="L312" s="519"/>
    </row>
    <row r="313" spans="1:12">
      <c r="A313" s="298">
        <v>291</v>
      </c>
      <c r="B313" s="492" t="s">
        <v>152</v>
      </c>
      <c r="C313" s="493"/>
      <c r="D313" s="300">
        <f t="shared" si="24"/>
        <v>80</v>
      </c>
      <c r="E313" s="197">
        <v>33.4</v>
      </c>
      <c r="F313" s="164">
        <f t="shared" si="23"/>
        <v>33.001999999999995</v>
      </c>
      <c r="G313" s="165" t="s">
        <v>8</v>
      </c>
      <c r="H313" s="164">
        <f t="shared" si="22"/>
        <v>9597.051999999996</v>
      </c>
      <c r="I313" s="165">
        <f t="shared" si="21"/>
        <v>2222.1280000000042</v>
      </c>
      <c r="J313" s="177">
        <f t="shared" si="20"/>
        <v>335.34913959969435</v>
      </c>
      <c r="K313" s="518"/>
      <c r="L313" s="519"/>
    </row>
    <row r="314" spans="1:12">
      <c r="A314" s="298">
        <v>292</v>
      </c>
      <c r="B314" s="492" t="s">
        <v>152</v>
      </c>
      <c r="C314" s="493"/>
      <c r="D314" s="300">
        <f t="shared" si="24"/>
        <v>79</v>
      </c>
      <c r="E314" s="197">
        <v>33.47</v>
      </c>
      <c r="F314" s="164">
        <f t="shared" si="23"/>
        <v>33.071999999999996</v>
      </c>
      <c r="G314" s="165" t="s">
        <v>8</v>
      </c>
      <c r="H314" s="164">
        <f t="shared" si="22"/>
        <v>9630.1239999999962</v>
      </c>
      <c r="I314" s="165">
        <f t="shared" si="21"/>
        <v>2189.0560000000041</v>
      </c>
      <c r="J314" s="177">
        <f t="shared" si="20"/>
        <v>336.06712286631011</v>
      </c>
      <c r="K314" s="518"/>
      <c r="L314" s="519"/>
    </row>
    <row r="315" spans="1:12">
      <c r="A315" s="298">
        <v>293</v>
      </c>
      <c r="B315" s="492" t="s">
        <v>152</v>
      </c>
      <c r="C315" s="493"/>
      <c r="D315" s="300">
        <f t="shared" si="24"/>
        <v>78</v>
      </c>
      <c r="E315" s="197">
        <v>33.590000000000003</v>
      </c>
      <c r="F315" s="164">
        <f t="shared" si="23"/>
        <v>33.192</v>
      </c>
      <c r="G315" s="165" t="s">
        <v>8</v>
      </c>
      <c r="H315" s="164">
        <f t="shared" si="22"/>
        <v>9663.3159999999953</v>
      </c>
      <c r="I315" s="165">
        <f t="shared" si="21"/>
        <v>2155.864000000005</v>
      </c>
      <c r="J315" s="177">
        <f t="shared" si="20"/>
        <v>336.78771129717336</v>
      </c>
      <c r="K315" s="518"/>
      <c r="L315" s="519"/>
    </row>
    <row r="316" spans="1:12">
      <c r="A316" s="298">
        <v>294</v>
      </c>
      <c r="B316" s="492" t="s">
        <v>152</v>
      </c>
      <c r="C316" s="493"/>
      <c r="D316" s="300">
        <f t="shared" si="24"/>
        <v>77</v>
      </c>
      <c r="E316" s="197">
        <v>31.92</v>
      </c>
      <c r="F316" s="164">
        <f t="shared" si="23"/>
        <v>31.522000000000002</v>
      </c>
      <c r="G316" s="165" t="s">
        <v>8</v>
      </c>
      <c r="H316" s="164">
        <f t="shared" si="22"/>
        <v>9694.8379999999961</v>
      </c>
      <c r="I316" s="165">
        <f t="shared" si="21"/>
        <v>2124.3420000000042</v>
      </c>
      <c r="J316" s="177">
        <f t="shared" si="20"/>
        <v>337.47204452559197</v>
      </c>
      <c r="K316" s="518"/>
      <c r="L316" s="519"/>
    </row>
    <row r="317" spans="1:12">
      <c r="A317" s="298">
        <v>295</v>
      </c>
      <c r="B317" s="492" t="s">
        <v>152</v>
      </c>
      <c r="C317" s="493"/>
      <c r="D317" s="300">
        <f t="shared" si="24"/>
        <v>76</v>
      </c>
      <c r="E317" s="197">
        <v>33</v>
      </c>
      <c r="F317" s="164">
        <f t="shared" si="23"/>
        <v>32.601999999999997</v>
      </c>
      <c r="G317" s="165" t="s">
        <v>8</v>
      </c>
      <c r="H317" s="164">
        <f t="shared" si="22"/>
        <v>9727.4399999999969</v>
      </c>
      <c r="I317" s="165">
        <f t="shared" si="21"/>
        <v>2091.7400000000034</v>
      </c>
      <c r="J317" s="177">
        <f t="shared" si="20"/>
        <v>338.17982423223827</v>
      </c>
      <c r="K317" s="518"/>
      <c r="L317" s="519"/>
    </row>
    <row r="318" spans="1:12">
      <c r="A318" s="298">
        <v>296</v>
      </c>
      <c r="B318" s="492" t="s">
        <v>152</v>
      </c>
      <c r="C318" s="493"/>
      <c r="D318" s="300">
        <f t="shared" si="24"/>
        <v>75</v>
      </c>
      <c r="E318" s="197">
        <v>33.01</v>
      </c>
      <c r="F318" s="164">
        <f t="shared" si="23"/>
        <v>32.611999999999995</v>
      </c>
      <c r="G318" s="165" t="s">
        <v>8</v>
      </c>
      <c r="H318" s="164">
        <f t="shared" si="22"/>
        <v>9760.051999999996</v>
      </c>
      <c r="I318" s="165">
        <f t="shared" si="21"/>
        <v>2059.1280000000042</v>
      </c>
      <c r="J318" s="177">
        <f t="shared" si="20"/>
        <v>338.88782103590518</v>
      </c>
      <c r="K318" s="518"/>
      <c r="L318" s="519"/>
    </row>
    <row r="319" spans="1:12">
      <c r="A319" s="298">
        <v>297</v>
      </c>
      <c r="B319" s="492" t="s">
        <v>152</v>
      </c>
      <c r="C319" s="493"/>
      <c r="D319" s="300">
        <f t="shared" si="24"/>
        <v>74</v>
      </c>
      <c r="E319" s="197">
        <v>33.47</v>
      </c>
      <c r="F319" s="164">
        <f t="shared" si="23"/>
        <v>33.071999999999996</v>
      </c>
      <c r="G319" s="165" t="s">
        <v>8</v>
      </c>
      <c r="H319" s="164">
        <f t="shared" si="22"/>
        <v>9793.1239999999962</v>
      </c>
      <c r="I319" s="165">
        <f t="shared" si="21"/>
        <v>2026.0560000000041</v>
      </c>
      <c r="J319" s="177">
        <f t="shared" si="20"/>
        <v>339.60580430252094</v>
      </c>
      <c r="K319" s="518"/>
      <c r="L319" s="519"/>
    </row>
    <row r="320" spans="1:12">
      <c r="A320" s="298">
        <v>298</v>
      </c>
      <c r="B320" s="492" t="s">
        <v>152</v>
      </c>
      <c r="C320" s="493"/>
      <c r="D320" s="300">
        <f t="shared" si="24"/>
        <v>73</v>
      </c>
      <c r="E320" s="197">
        <v>32.92</v>
      </c>
      <c r="F320" s="164">
        <f t="shared" si="23"/>
        <v>32.521999999999998</v>
      </c>
      <c r="G320" s="165" t="s">
        <v>8</v>
      </c>
      <c r="H320" s="164">
        <f t="shared" si="22"/>
        <v>9825.645999999997</v>
      </c>
      <c r="I320" s="165">
        <f t="shared" si="21"/>
        <v>1993.5340000000033</v>
      </c>
      <c r="J320" s="177">
        <f t="shared" si="20"/>
        <v>340.31184723300225</v>
      </c>
      <c r="K320" s="518"/>
      <c r="L320" s="519"/>
    </row>
    <row r="321" spans="1:12">
      <c r="A321" s="298">
        <v>299</v>
      </c>
      <c r="B321" s="492" t="s">
        <v>152</v>
      </c>
      <c r="C321" s="493"/>
      <c r="D321" s="300">
        <f t="shared" si="24"/>
        <v>72</v>
      </c>
      <c r="E321" s="197">
        <v>33.659999999999997</v>
      </c>
      <c r="F321" s="164">
        <f t="shared" si="23"/>
        <v>33.261999999999993</v>
      </c>
      <c r="G321" s="165" t="s">
        <v>8</v>
      </c>
      <c r="H321" s="164">
        <f t="shared" si="22"/>
        <v>9858.9079999999976</v>
      </c>
      <c r="I321" s="165">
        <f t="shared" si="21"/>
        <v>1960.2720000000027</v>
      </c>
      <c r="J321" s="177">
        <f t="shared" si="20"/>
        <v>341.03395534300989</v>
      </c>
      <c r="K321" s="518"/>
      <c r="L321" s="519"/>
    </row>
    <row r="322" spans="1:12">
      <c r="A322" s="298">
        <v>300</v>
      </c>
      <c r="B322" s="492" t="s">
        <v>152</v>
      </c>
      <c r="C322" s="493"/>
      <c r="D322" s="300">
        <f t="shared" si="24"/>
        <v>71</v>
      </c>
      <c r="E322" s="197">
        <v>33.22</v>
      </c>
      <c r="F322" s="164">
        <f t="shared" si="23"/>
        <v>32.821999999999996</v>
      </c>
      <c r="G322" s="165" t="s">
        <v>8</v>
      </c>
      <c r="H322" s="164">
        <f t="shared" si="22"/>
        <v>9891.7299999999977</v>
      </c>
      <c r="I322" s="165">
        <f t="shared" si="21"/>
        <v>1927.4500000000025</v>
      </c>
      <c r="J322" s="177">
        <f t="shared" si="20"/>
        <v>341.74651118410998</v>
      </c>
      <c r="K322" s="518"/>
      <c r="L322" s="519"/>
    </row>
    <row r="323" spans="1:12">
      <c r="A323" s="298">
        <v>301</v>
      </c>
      <c r="B323" s="492" t="s">
        <v>152</v>
      </c>
      <c r="C323" s="493"/>
      <c r="D323" s="300">
        <f t="shared" si="24"/>
        <v>70</v>
      </c>
      <c r="E323" s="197">
        <v>33.72</v>
      </c>
      <c r="F323" s="164">
        <f t="shared" si="23"/>
        <v>33.321999999999996</v>
      </c>
      <c r="G323" s="165" t="s">
        <v>8</v>
      </c>
      <c r="H323" s="164">
        <f t="shared" si="22"/>
        <v>9925.0519999999979</v>
      </c>
      <c r="I323" s="165">
        <f t="shared" si="21"/>
        <v>1894.1280000000024</v>
      </c>
      <c r="J323" s="177">
        <f t="shared" si="20"/>
        <v>342.46992187624141</v>
      </c>
      <c r="K323" s="518"/>
      <c r="L323" s="519"/>
    </row>
    <row r="324" spans="1:12">
      <c r="A324" s="298">
        <v>302</v>
      </c>
      <c r="B324" s="492" t="s">
        <v>152</v>
      </c>
      <c r="C324" s="493"/>
      <c r="D324" s="300">
        <f t="shared" si="24"/>
        <v>69</v>
      </c>
      <c r="E324" s="197">
        <v>33.65</v>
      </c>
      <c r="F324" s="164">
        <f t="shared" si="23"/>
        <v>33.251999999999995</v>
      </c>
      <c r="G324" s="165" t="s">
        <v>8</v>
      </c>
      <c r="H324" s="164">
        <f t="shared" si="22"/>
        <v>9958.3039999999983</v>
      </c>
      <c r="I324" s="165">
        <f t="shared" si="21"/>
        <v>1860.876000000002</v>
      </c>
      <c r="J324" s="177">
        <f t="shared" si="20"/>
        <v>343.1918128892284</v>
      </c>
      <c r="K324" s="518"/>
      <c r="L324" s="519"/>
    </row>
    <row r="325" spans="1:12">
      <c r="A325" s="298">
        <v>303</v>
      </c>
      <c r="B325" s="492" t="s">
        <v>152</v>
      </c>
      <c r="C325" s="493"/>
      <c r="D325" s="300">
        <f t="shared" si="24"/>
        <v>68</v>
      </c>
      <c r="E325" s="197">
        <v>33.270000000000003</v>
      </c>
      <c r="F325" s="164">
        <f t="shared" si="23"/>
        <v>32.872</v>
      </c>
      <c r="G325" s="165" t="s">
        <v>8</v>
      </c>
      <c r="H325" s="164">
        <f t="shared" si="22"/>
        <v>9991.1759999999977</v>
      </c>
      <c r="I325" s="165">
        <f t="shared" si="21"/>
        <v>1828.0040000000026</v>
      </c>
      <c r="J325" s="177">
        <f t="shared" si="20"/>
        <v>343.90545421543163</v>
      </c>
      <c r="K325" s="518"/>
      <c r="L325" s="519"/>
    </row>
    <row r="326" spans="1:12">
      <c r="A326" s="298">
        <v>304</v>
      </c>
      <c r="B326" s="492" t="s">
        <v>152</v>
      </c>
      <c r="C326" s="493"/>
      <c r="D326" s="300">
        <f t="shared" si="24"/>
        <v>67</v>
      </c>
      <c r="E326" s="197">
        <v>33.19</v>
      </c>
      <c r="F326" s="164">
        <f t="shared" si="23"/>
        <v>32.791999999999994</v>
      </c>
      <c r="G326" s="165" t="s">
        <v>8</v>
      </c>
      <c r="H326" s="164">
        <f t="shared" si="22"/>
        <v>10023.967999999997</v>
      </c>
      <c r="I326" s="165">
        <f t="shared" si="21"/>
        <v>1795.2120000000032</v>
      </c>
      <c r="J326" s="177">
        <f t="shared" si="20"/>
        <v>344.61735876546982</v>
      </c>
      <c r="K326" s="518"/>
      <c r="L326" s="519"/>
    </row>
    <row r="327" spans="1:12">
      <c r="A327" s="298">
        <v>305</v>
      </c>
      <c r="B327" s="492" t="s">
        <v>152</v>
      </c>
      <c r="C327" s="493"/>
      <c r="D327" s="300">
        <f t="shared" si="24"/>
        <v>66</v>
      </c>
      <c r="E327" s="197">
        <v>33.770000000000003</v>
      </c>
      <c r="F327" s="164">
        <f t="shared" si="23"/>
        <v>33.372</v>
      </c>
      <c r="G327" s="165" t="s">
        <v>8</v>
      </c>
      <c r="H327" s="164">
        <f t="shared" si="22"/>
        <v>10057.339999999997</v>
      </c>
      <c r="I327" s="165">
        <f t="shared" si="21"/>
        <v>1761.8400000000038</v>
      </c>
      <c r="J327" s="177">
        <f t="shared" si="20"/>
        <v>345.34185494270434</v>
      </c>
      <c r="K327" s="518"/>
      <c r="L327" s="519"/>
    </row>
    <row r="328" spans="1:12">
      <c r="A328" s="298">
        <v>306</v>
      </c>
      <c r="B328" s="492" t="s">
        <v>152</v>
      </c>
      <c r="C328" s="493"/>
      <c r="D328" s="300">
        <f t="shared" si="24"/>
        <v>65</v>
      </c>
      <c r="E328" s="197">
        <v>33.15</v>
      </c>
      <c r="F328" s="164">
        <f t="shared" si="23"/>
        <v>32.751999999999995</v>
      </c>
      <c r="G328" s="165" t="s">
        <v>8</v>
      </c>
      <c r="H328" s="164">
        <f t="shared" si="22"/>
        <v>10090.091999999997</v>
      </c>
      <c r="I328" s="165">
        <f t="shared" si="21"/>
        <v>1729.0880000000034</v>
      </c>
      <c r="J328" s="177">
        <f t="shared" si="20"/>
        <v>346.05289110466003</v>
      </c>
      <c r="K328" s="518"/>
      <c r="L328" s="519"/>
    </row>
    <row r="329" spans="1:12">
      <c r="A329" s="298">
        <v>307</v>
      </c>
      <c r="B329" s="492" t="s">
        <v>152</v>
      </c>
      <c r="C329" s="493"/>
      <c r="D329" s="300">
        <f t="shared" si="24"/>
        <v>64</v>
      </c>
      <c r="E329" s="197">
        <v>33.700000000000003</v>
      </c>
      <c r="F329" s="164">
        <f t="shared" si="23"/>
        <v>33.302</v>
      </c>
      <c r="G329" s="165" t="s">
        <v>8</v>
      </c>
      <c r="H329" s="164">
        <f t="shared" si="22"/>
        <v>10123.393999999997</v>
      </c>
      <c r="I329" s="165">
        <f t="shared" si="21"/>
        <v>1695.7860000000037</v>
      </c>
      <c r="J329" s="177">
        <f t="shared" si="20"/>
        <v>346.77586760275017</v>
      </c>
      <c r="K329" s="518"/>
      <c r="L329" s="519"/>
    </row>
    <row r="330" spans="1:12">
      <c r="A330" s="298">
        <v>308</v>
      </c>
      <c r="B330" s="492" t="s">
        <v>152</v>
      </c>
      <c r="C330" s="493"/>
      <c r="D330" s="300">
        <f t="shared" si="24"/>
        <v>63</v>
      </c>
      <c r="E330" s="197">
        <v>33.479999999999997</v>
      </c>
      <c r="F330" s="164">
        <f t="shared" si="23"/>
        <v>33.081999999999994</v>
      </c>
      <c r="G330" s="165" t="s">
        <v>8</v>
      </c>
      <c r="H330" s="164">
        <f t="shared" si="22"/>
        <v>10156.475999999997</v>
      </c>
      <c r="I330" s="165">
        <f t="shared" si="21"/>
        <v>1662.7040000000034</v>
      </c>
      <c r="J330" s="177">
        <f t="shared" si="20"/>
        <v>347.49406796638652</v>
      </c>
      <c r="K330" s="518"/>
      <c r="L330" s="519"/>
    </row>
    <row r="331" spans="1:12">
      <c r="A331" s="298">
        <v>309</v>
      </c>
      <c r="B331" s="492" t="s">
        <v>152</v>
      </c>
      <c r="C331" s="493"/>
      <c r="D331" s="300">
        <f t="shared" si="24"/>
        <v>62</v>
      </c>
      <c r="E331" s="197">
        <v>33.64</v>
      </c>
      <c r="F331" s="164">
        <f t="shared" si="23"/>
        <v>33.241999999999997</v>
      </c>
      <c r="G331" s="165" t="s">
        <v>8</v>
      </c>
      <c r="H331" s="164">
        <f t="shared" si="22"/>
        <v>10189.717999999997</v>
      </c>
      <c r="I331" s="165">
        <f t="shared" si="21"/>
        <v>1629.4620000000032</v>
      </c>
      <c r="J331" s="177">
        <f t="shared" si="20"/>
        <v>348.21574188235292</v>
      </c>
      <c r="K331" s="518"/>
      <c r="L331" s="519"/>
    </row>
    <row r="332" spans="1:12">
      <c r="A332" s="298">
        <v>310</v>
      </c>
      <c r="B332" s="492" t="s">
        <v>152</v>
      </c>
      <c r="C332" s="493"/>
      <c r="D332" s="300">
        <f t="shared" si="24"/>
        <v>61</v>
      </c>
      <c r="E332" s="197">
        <v>33.81</v>
      </c>
      <c r="F332" s="164">
        <f t="shared" si="23"/>
        <v>33.411999999999999</v>
      </c>
      <c r="G332" s="165" t="s">
        <v>8</v>
      </c>
      <c r="H332" s="164">
        <f t="shared" si="22"/>
        <v>10223.129999999997</v>
      </c>
      <c r="I332" s="165">
        <f t="shared" si="21"/>
        <v>1596.0500000000029</v>
      </c>
      <c r="J332" s="177">
        <f t="shared" si="20"/>
        <v>348.94110644766999</v>
      </c>
      <c r="K332" s="518"/>
      <c r="L332" s="519"/>
    </row>
    <row r="333" spans="1:12">
      <c r="A333" s="298">
        <v>311</v>
      </c>
      <c r="B333" s="492" t="s">
        <v>152</v>
      </c>
      <c r="C333" s="493"/>
      <c r="D333" s="300">
        <f t="shared" si="24"/>
        <v>60</v>
      </c>
      <c r="E333" s="197">
        <v>33.869999999999997</v>
      </c>
      <c r="F333" s="164">
        <f t="shared" si="23"/>
        <v>33.471999999999994</v>
      </c>
      <c r="G333" s="165" t="s">
        <v>8</v>
      </c>
      <c r="H333" s="164">
        <f t="shared" si="22"/>
        <v>10256.601999999997</v>
      </c>
      <c r="I333" s="165">
        <f t="shared" si="21"/>
        <v>1562.5780000000032</v>
      </c>
      <c r="J333" s="177">
        <f t="shared" si="20"/>
        <v>349.66777359511076</v>
      </c>
      <c r="K333" s="518"/>
      <c r="L333" s="519"/>
    </row>
    <row r="334" spans="1:12">
      <c r="A334" s="298">
        <v>312</v>
      </c>
      <c r="B334" s="492" t="s">
        <v>152</v>
      </c>
      <c r="C334" s="493"/>
      <c r="D334" s="300">
        <f t="shared" si="24"/>
        <v>59</v>
      </c>
      <c r="E334" s="197">
        <v>33.67</v>
      </c>
      <c r="F334" s="164">
        <f t="shared" si="23"/>
        <v>33.271999999999998</v>
      </c>
      <c r="G334" s="165" t="s">
        <v>8</v>
      </c>
      <c r="H334" s="164">
        <f t="shared" si="22"/>
        <v>10289.873999999998</v>
      </c>
      <c r="I334" s="165">
        <f t="shared" si="21"/>
        <v>1529.3060000000023</v>
      </c>
      <c r="J334" s="177">
        <f t="shared" ref="J334:J389" si="25">$G$7+(H334*$C$8*$G$10/1000)</f>
        <v>350.39009880213899</v>
      </c>
      <c r="K334" s="518"/>
      <c r="L334" s="519"/>
    </row>
    <row r="335" spans="1:12">
      <c r="A335" s="298">
        <v>313</v>
      </c>
      <c r="B335" s="492" t="s">
        <v>152</v>
      </c>
      <c r="C335" s="493"/>
      <c r="D335" s="300">
        <f t="shared" si="24"/>
        <v>58</v>
      </c>
      <c r="E335" s="197">
        <v>33.770000000000003</v>
      </c>
      <c r="F335" s="164">
        <f t="shared" si="23"/>
        <v>33.372</v>
      </c>
      <c r="G335" s="165" t="s">
        <v>8</v>
      </c>
      <c r="H335" s="164">
        <f t="shared" si="22"/>
        <v>10323.245999999997</v>
      </c>
      <c r="I335" s="165">
        <f t="shared" si="21"/>
        <v>1495.9340000000029</v>
      </c>
      <c r="J335" s="177">
        <f t="shared" si="25"/>
        <v>351.11459497937358</v>
      </c>
      <c r="K335" s="518"/>
      <c r="L335" s="519"/>
    </row>
    <row r="336" spans="1:12">
      <c r="A336" s="298">
        <v>314</v>
      </c>
      <c r="B336" s="492" t="s">
        <v>152</v>
      </c>
      <c r="C336" s="493"/>
      <c r="D336" s="300">
        <f t="shared" si="24"/>
        <v>57</v>
      </c>
      <c r="E336" s="197">
        <v>33.65</v>
      </c>
      <c r="F336" s="164">
        <f t="shared" si="23"/>
        <v>33.251999999999995</v>
      </c>
      <c r="G336" s="165" t="s">
        <v>8</v>
      </c>
      <c r="H336" s="164">
        <f t="shared" si="22"/>
        <v>10356.497999999998</v>
      </c>
      <c r="I336" s="165">
        <f t="shared" si="21"/>
        <v>1462.6820000000025</v>
      </c>
      <c r="J336" s="177">
        <f t="shared" si="25"/>
        <v>351.83648599236051</v>
      </c>
      <c r="K336" s="518"/>
      <c r="L336" s="519"/>
    </row>
    <row r="337" spans="1:12">
      <c r="A337" s="298">
        <v>315</v>
      </c>
      <c r="B337" s="492" t="s">
        <v>152</v>
      </c>
      <c r="C337" s="493"/>
      <c r="D337" s="300">
        <f t="shared" si="24"/>
        <v>56</v>
      </c>
      <c r="E337" s="197">
        <v>33.729999999999997</v>
      </c>
      <c r="F337" s="164">
        <f t="shared" si="23"/>
        <v>33.331999999999994</v>
      </c>
      <c r="G337" s="165" t="s">
        <v>8</v>
      </c>
      <c r="H337" s="164">
        <f t="shared" si="22"/>
        <v>10389.829999999998</v>
      </c>
      <c r="I337" s="165">
        <f t="shared" si="21"/>
        <v>1429.3500000000022</v>
      </c>
      <c r="J337" s="177">
        <f t="shared" si="25"/>
        <v>352.5601137815126</v>
      </c>
      <c r="K337" s="518"/>
      <c r="L337" s="519"/>
    </row>
    <row r="338" spans="1:12">
      <c r="A338" s="298">
        <v>316</v>
      </c>
      <c r="B338" s="492" t="s">
        <v>152</v>
      </c>
      <c r="C338" s="493"/>
      <c r="D338" s="300">
        <f t="shared" si="24"/>
        <v>55</v>
      </c>
      <c r="E338" s="197">
        <v>33.83</v>
      </c>
      <c r="F338" s="164">
        <f t="shared" si="23"/>
        <v>33.431999999999995</v>
      </c>
      <c r="G338" s="165" t="s">
        <v>8</v>
      </c>
      <c r="H338" s="164">
        <f t="shared" ref="H338:H344" si="26">IF(G338="IN",H337+F338,H337)</f>
        <v>10423.261999999999</v>
      </c>
      <c r="I338" s="165">
        <f t="shared" si="21"/>
        <v>1395.9180000000015</v>
      </c>
      <c r="J338" s="177">
        <f t="shared" si="25"/>
        <v>353.28591254087087</v>
      </c>
      <c r="K338" s="518"/>
      <c r="L338" s="519"/>
    </row>
    <row r="339" spans="1:12" ht="13.5" thickBot="1">
      <c r="A339" s="298">
        <v>317</v>
      </c>
      <c r="B339" s="492" t="s">
        <v>152</v>
      </c>
      <c r="C339" s="493"/>
      <c r="D339" s="300">
        <f t="shared" si="24"/>
        <v>54</v>
      </c>
      <c r="E339" s="197">
        <v>31.63</v>
      </c>
      <c r="F339" s="164">
        <f t="shared" si="23"/>
        <v>31.231999999999999</v>
      </c>
      <c r="G339" s="165" t="s">
        <v>8</v>
      </c>
      <c r="H339" s="164">
        <f t="shared" si="26"/>
        <v>10454.493999999999</v>
      </c>
      <c r="I339" s="165">
        <f t="shared" si="21"/>
        <v>1364.6860000000015</v>
      </c>
      <c r="J339" s="177">
        <f t="shared" si="25"/>
        <v>353.96394995569142</v>
      </c>
      <c r="K339" s="518"/>
      <c r="L339" s="519"/>
    </row>
    <row r="340" spans="1:12" ht="13.5" thickBot="1">
      <c r="A340" s="298">
        <v>318</v>
      </c>
      <c r="B340" s="492" t="s">
        <v>152</v>
      </c>
      <c r="C340" s="493"/>
      <c r="D340" s="300">
        <f t="shared" si="24"/>
        <v>53</v>
      </c>
      <c r="E340" s="197">
        <v>31.75</v>
      </c>
      <c r="F340" s="164">
        <f t="shared" si="23"/>
        <v>31.352</v>
      </c>
      <c r="G340" s="165" t="s">
        <v>8</v>
      </c>
      <c r="H340" s="164">
        <f t="shared" si="26"/>
        <v>10485.846</v>
      </c>
      <c r="I340" s="165">
        <f t="shared" si="21"/>
        <v>1333.3340000000007</v>
      </c>
      <c r="J340" s="177">
        <f t="shared" si="25"/>
        <v>354.64459253475934</v>
      </c>
      <c r="K340" s="546" t="s">
        <v>180</v>
      </c>
      <c r="L340" s="547"/>
    </row>
    <row r="341" spans="1:12">
      <c r="A341" s="298">
        <v>319</v>
      </c>
      <c r="B341" s="492" t="s">
        <v>152</v>
      </c>
      <c r="C341" s="493"/>
      <c r="D341" s="300">
        <f t="shared" si="24"/>
        <v>52</v>
      </c>
      <c r="E341" s="197">
        <v>33.47</v>
      </c>
      <c r="F341" s="164">
        <f t="shared" si="23"/>
        <v>33.071999999999996</v>
      </c>
      <c r="G341" s="165" t="s">
        <v>8</v>
      </c>
      <c r="H341" s="164">
        <f t="shared" si="26"/>
        <v>10518.918</v>
      </c>
      <c r="I341" s="165">
        <f t="shared" si="21"/>
        <v>1300.2620000000006</v>
      </c>
      <c r="J341" s="177">
        <f t="shared" si="25"/>
        <v>355.36257580137516</v>
      </c>
      <c r="K341" s="516"/>
      <c r="L341" s="517"/>
    </row>
    <row r="342" spans="1:12">
      <c r="A342" s="298">
        <v>320</v>
      </c>
      <c r="B342" s="492" t="s">
        <v>152</v>
      </c>
      <c r="C342" s="493"/>
      <c r="D342" s="300">
        <f>D341-1</f>
        <v>51</v>
      </c>
      <c r="E342" s="197">
        <v>33.479999999999997</v>
      </c>
      <c r="F342" s="283">
        <f t="shared" si="23"/>
        <v>33.081999999999994</v>
      </c>
      <c r="G342" s="165" t="s">
        <v>8</v>
      </c>
      <c r="H342" s="164">
        <f t="shared" si="26"/>
        <v>10552</v>
      </c>
      <c r="I342" s="165">
        <f t="shared" si="21"/>
        <v>1267.1800000000003</v>
      </c>
      <c r="J342" s="177">
        <f t="shared" si="25"/>
        <v>356.08077616501146</v>
      </c>
      <c r="K342" s="516"/>
      <c r="L342" s="517"/>
    </row>
    <row r="343" spans="1:12" ht="13.5" thickBot="1">
      <c r="A343" s="298">
        <v>321</v>
      </c>
      <c r="B343" s="492" t="s">
        <v>152</v>
      </c>
      <c r="C343" s="493"/>
      <c r="D343" s="300">
        <f>D342-1</f>
        <v>50</v>
      </c>
      <c r="E343" s="197">
        <v>33.5</v>
      </c>
      <c r="F343" s="283">
        <f t="shared" ref="F343:F386" si="27">E343-($C$10)</f>
        <v>33.101999999999997</v>
      </c>
      <c r="G343" s="165" t="s">
        <v>8</v>
      </c>
      <c r="H343" s="164">
        <f t="shared" si="26"/>
        <v>10585.102000000001</v>
      </c>
      <c r="I343" s="165">
        <f t="shared" ref="I343:I389" si="28">IF(H343="","",$K$6-H343)</f>
        <v>1234.0779999999995</v>
      </c>
      <c r="J343" s="177">
        <f t="shared" si="25"/>
        <v>356.79941072268912</v>
      </c>
      <c r="K343" s="516"/>
      <c r="L343" s="517"/>
    </row>
    <row r="344" spans="1:12" ht="12.6" customHeight="1">
      <c r="A344" s="538" t="s">
        <v>74</v>
      </c>
      <c r="B344" s="541" t="s">
        <v>150</v>
      </c>
      <c r="C344" s="544" t="s">
        <v>72</v>
      </c>
      <c r="D344" s="545"/>
      <c r="E344" s="235">
        <v>6.21</v>
      </c>
      <c r="F344" s="235">
        <f>E344-($C$10)</f>
        <v>5.8120000000000003</v>
      </c>
      <c r="G344" s="235" t="s">
        <v>8</v>
      </c>
      <c r="H344" s="238">
        <f t="shared" si="26"/>
        <v>10590.914000000001</v>
      </c>
      <c r="I344" s="238">
        <f>IF(H344="","",$K$6-H344)</f>
        <v>1228.2659999999996</v>
      </c>
      <c r="J344" s="280">
        <f>$G$7+(H344*$C$8*$G$10/1000)</f>
        <v>356.9255875110772</v>
      </c>
      <c r="K344" s="548" t="s">
        <v>120</v>
      </c>
      <c r="L344" s="549"/>
    </row>
    <row r="345" spans="1:12" ht="12.95" customHeight="1" thickBot="1">
      <c r="A345" s="539"/>
      <c r="B345" s="542"/>
      <c r="C345" s="552" t="s">
        <v>73</v>
      </c>
      <c r="D345" s="553"/>
      <c r="E345" s="234">
        <v>5.38</v>
      </c>
      <c r="F345" s="234">
        <f>E345</f>
        <v>5.38</v>
      </c>
      <c r="G345" s="234" t="s">
        <v>8</v>
      </c>
      <c r="H345" s="234">
        <f>IF(G345="IN",H344+F345,H344)</f>
        <v>10596.294</v>
      </c>
      <c r="I345" s="279">
        <f>IF(H345="","",$K$6-H345)</f>
        <v>1222.8860000000004</v>
      </c>
      <c r="J345" s="281">
        <f>$G$7+(H345*$C$8*$G$10/1000)</f>
        <v>357.04238570817415</v>
      </c>
      <c r="K345" s="550"/>
      <c r="L345" s="551"/>
    </row>
    <row r="346" spans="1:12" ht="13.5" thickBot="1">
      <c r="A346" s="539"/>
      <c r="B346" s="542"/>
      <c r="C346" s="554" t="s">
        <v>76</v>
      </c>
      <c r="D346" s="555"/>
      <c r="E346" s="237">
        <v>8.46875</v>
      </c>
      <c r="F346" s="237">
        <f>E346</f>
        <v>8.46875</v>
      </c>
      <c r="G346" s="237" t="s">
        <v>8</v>
      </c>
      <c r="H346" s="237">
        <f>IF(G346="IN",H345+F346,H345)</f>
        <v>10604.76275</v>
      </c>
      <c r="I346" s="342">
        <f>IF(H346="","",$K$6-H346)</f>
        <v>1214.4172500000004</v>
      </c>
      <c r="J346" s="343">
        <f>$G$7+(H346*$C$8*$G$10/1000)</f>
        <v>357.22623974751718</v>
      </c>
      <c r="K346" s="550"/>
      <c r="L346" s="551"/>
    </row>
    <row r="347" spans="1:12" ht="12.6" customHeight="1" thickBot="1">
      <c r="A347" s="539"/>
      <c r="B347" s="542"/>
      <c r="C347" s="552" t="s">
        <v>73</v>
      </c>
      <c r="D347" s="553"/>
      <c r="E347" s="234">
        <v>11.85</v>
      </c>
      <c r="F347" s="234">
        <f>E347</f>
        <v>11.85</v>
      </c>
      <c r="G347" s="234" t="s">
        <v>8</v>
      </c>
      <c r="H347" s="234">
        <f>IF(G347="IN",H346+F347,H346)</f>
        <v>10616.61275</v>
      </c>
      <c r="I347" s="279">
        <f>IF(H347="","",$K$6-H347)</f>
        <v>1202.5672500000001</v>
      </c>
      <c r="J347" s="281">
        <f>$G$7+(H347*$C$8*$G$10/1000)</f>
        <v>357.48349971695956</v>
      </c>
      <c r="K347" s="556" t="s">
        <v>149</v>
      </c>
      <c r="L347" s="557"/>
    </row>
    <row r="348" spans="1:12" ht="12.95" customHeight="1" thickBot="1">
      <c r="A348" s="540"/>
      <c r="B348" s="543"/>
      <c r="C348" s="558" t="s">
        <v>72</v>
      </c>
      <c r="D348" s="559"/>
      <c r="E348" s="236">
        <v>5.81</v>
      </c>
      <c r="F348" s="236">
        <f>E348</f>
        <v>5.81</v>
      </c>
      <c r="G348" s="236" t="s">
        <v>8</v>
      </c>
      <c r="H348" s="236">
        <f>IF(G348="IN",H347+F348,H347)</f>
        <v>10622.42275</v>
      </c>
      <c r="I348" s="239">
        <f>IF(H348="","",$K$6-H348)</f>
        <v>1196.7572500000006</v>
      </c>
      <c r="J348" s="278">
        <f>$G$7+(H348*$C$8*$G$10/1000)</f>
        <v>357.60963308594353</v>
      </c>
      <c r="K348" s="229" t="s">
        <v>124</v>
      </c>
      <c r="L348" s="182">
        <f>$I$346</f>
        <v>1214.4172500000004</v>
      </c>
    </row>
    <row r="349" spans="1:12">
      <c r="A349" s="303">
        <v>322</v>
      </c>
      <c r="B349" s="492" t="s">
        <v>152</v>
      </c>
      <c r="C349" s="493"/>
      <c r="D349" s="300">
        <f>D343-1</f>
        <v>49</v>
      </c>
      <c r="E349" s="197">
        <v>33.33</v>
      </c>
      <c r="F349" s="283">
        <f t="shared" si="27"/>
        <v>32.931999999999995</v>
      </c>
      <c r="G349" s="165" t="s">
        <v>8</v>
      </c>
      <c r="H349" s="164">
        <f t="shared" ref="H349:H389" si="29">IF(G349="IN",H348+F349,H348)</f>
        <v>10655.35475</v>
      </c>
      <c r="I349" s="165">
        <f t="shared" si="28"/>
        <v>1163.8252499999999</v>
      </c>
      <c r="J349" s="177">
        <f t="shared" si="25"/>
        <v>358.3245769942705</v>
      </c>
      <c r="K349" s="516"/>
      <c r="L349" s="517"/>
    </row>
    <row r="350" spans="1:12">
      <c r="A350" s="303">
        <v>323</v>
      </c>
      <c r="B350" s="492" t="s">
        <v>152</v>
      </c>
      <c r="C350" s="493"/>
      <c r="D350" s="300">
        <f t="shared" ref="D350:D384" si="30">D349-1</f>
        <v>48</v>
      </c>
      <c r="E350" s="197">
        <v>33.770000000000003</v>
      </c>
      <c r="F350" s="283">
        <f t="shared" si="27"/>
        <v>33.372</v>
      </c>
      <c r="G350" s="165" t="s">
        <v>8</v>
      </c>
      <c r="H350" s="164">
        <f t="shared" si="29"/>
        <v>10688.72675</v>
      </c>
      <c r="I350" s="165">
        <f t="shared" si="28"/>
        <v>1130.4532500000005</v>
      </c>
      <c r="J350" s="177">
        <f t="shared" si="25"/>
        <v>359.04907317150497</v>
      </c>
      <c r="K350" s="516"/>
      <c r="L350" s="517"/>
    </row>
    <row r="351" spans="1:12">
      <c r="A351" s="303">
        <v>324</v>
      </c>
      <c r="B351" s="492" t="s">
        <v>152</v>
      </c>
      <c r="C351" s="493"/>
      <c r="D351" s="300">
        <f t="shared" si="30"/>
        <v>47</v>
      </c>
      <c r="E351" s="197">
        <v>33.450000000000003</v>
      </c>
      <c r="F351" s="283">
        <f t="shared" si="27"/>
        <v>33.052</v>
      </c>
      <c r="G351" s="165" t="s">
        <v>8</v>
      </c>
      <c r="H351" s="164">
        <f t="shared" si="29"/>
        <v>10721.778749999999</v>
      </c>
      <c r="I351" s="165">
        <f t="shared" si="28"/>
        <v>1097.4012500000008</v>
      </c>
      <c r="J351" s="177">
        <f t="shared" si="25"/>
        <v>359.76662224407949</v>
      </c>
      <c r="K351" s="516"/>
      <c r="L351" s="517"/>
    </row>
    <row r="352" spans="1:12">
      <c r="A352" s="303">
        <v>325</v>
      </c>
      <c r="B352" s="492" t="s">
        <v>152</v>
      </c>
      <c r="C352" s="493"/>
      <c r="D352" s="300">
        <f t="shared" si="30"/>
        <v>46</v>
      </c>
      <c r="E352" s="197">
        <v>33.26</v>
      </c>
      <c r="F352" s="283">
        <f t="shared" si="27"/>
        <v>32.861999999999995</v>
      </c>
      <c r="G352" s="165" t="s">
        <v>8</v>
      </c>
      <c r="H352" s="164">
        <f t="shared" si="29"/>
        <v>10754.640749999999</v>
      </c>
      <c r="I352" s="165">
        <f t="shared" si="28"/>
        <v>1064.5392500000016</v>
      </c>
      <c r="J352" s="177">
        <f t="shared" si="25"/>
        <v>360.48004647326201</v>
      </c>
      <c r="K352" s="516"/>
      <c r="L352" s="517"/>
    </row>
    <row r="353" spans="1:12" ht="12.6" customHeight="1">
      <c r="A353" s="303">
        <v>326</v>
      </c>
      <c r="B353" s="492" t="s">
        <v>152</v>
      </c>
      <c r="C353" s="493"/>
      <c r="D353" s="300">
        <f t="shared" si="30"/>
        <v>45</v>
      </c>
      <c r="E353" s="197">
        <v>33.29</v>
      </c>
      <c r="F353" s="283">
        <f t="shared" si="27"/>
        <v>32.891999999999996</v>
      </c>
      <c r="G353" s="165" t="s">
        <v>8</v>
      </c>
      <c r="H353" s="164">
        <f t="shared" si="29"/>
        <v>10787.532749999998</v>
      </c>
      <c r="I353" s="165">
        <f t="shared" si="28"/>
        <v>1031.6472500000018</v>
      </c>
      <c r="J353" s="177">
        <f t="shared" si="25"/>
        <v>361.19412199350654</v>
      </c>
      <c r="K353" s="516"/>
      <c r="L353" s="517"/>
    </row>
    <row r="354" spans="1:12">
      <c r="A354" s="303">
        <v>327</v>
      </c>
      <c r="B354" s="492" t="s">
        <v>152</v>
      </c>
      <c r="C354" s="493"/>
      <c r="D354" s="300">
        <f t="shared" si="30"/>
        <v>44</v>
      </c>
      <c r="E354" s="197">
        <v>33.51</v>
      </c>
      <c r="F354" s="283">
        <f t="shared" si="27"/>
        <v>33.111999999999995</v>
      </c>
      <c r="G354" s="165" t="s">
        <v>8</v>
      </c>
      <c r="H354" s="164">
        <f t="shared" si="29"/>
        <v>10820.644749999998</v>
      </c>
      <c r="I354" s="165">
        <f t="shared" si="28"/>
        <v>998.53525000000263</v>
      </c>
      <c r="J354" s="177">
        <f t="shared" si="25"/>
        <v>361.91297364820474</v>
      </c>
      <c r="K354" s="518"/>
      <c r="L354" s="519"/>
    </row>
    <row r="355" spans="1:12">
      <c r="A355" s="303">
        <v>328</v>
      </c>
      <c r="B355" s="492" t="s">
        <v>152</v>
      </c>
      <c r="C355" s="493"/>
      <c r="D355" s="300">
        <f t="shared" si="30"/>
        <v>43</v>
      </c>
      <c r="E355" s="197">
        <v>33.26</v>
      </c>
      <c r="F355" s="283">
        <f t="shared" si="27"/>
        <v>32.861999999999995</v>
      </c>
      <c r="G355" s="165" t="s">
        <v>8</v>
      </c>
      <c r="H355" s="164">
        <f t="shared" si="29"/>
        <v>10853.506749999997</v>
      </c>
      <c r="I355" s="165">
        <f t="shared" si="28"/>
        <v>965.67325000000346</v>
      </c>
      <c r="J355" s="177">
        <f t="shared" si="25"/>
        <v>362.62639787738726</v>
      </c>
      <c r="K355" s="518"/>
      <c r="L355" s="519"/>
    </row>
    <row r="356" spans="1:12">
      <c r="A356" s="303">
        <v>329</v>
      </c>
      <c r="B356" s="492" t="s">
        <v>152</v>
      </c>
      <c r="C356" s="493"/>
      <c r="D356" s="300">
        <f t="shared" si="30"/>
        <v>42</v>
      </c>
      <c r="E356" s="197">
        <v>33.67</v>
      </c>
      <c r="F356" s="283">
        <f t="shared" si="27"/>
        <v>33.271999999999998</v>
      </c>
      <c r="G356" s="165" t="s">
        <v>8</v>
      </c>
      <c r="H356" s="164">
        <f t="shared" si="29"/>
        <v>10886.778749999998</v>
      </c>
      <c r="I356" s="165">
        <f t="shared" si="28"/>
        <v>932.40125000000262</v>
      </c>
      <c r="J356" s="177">
        <f t="shared" si="25"/>
        <v>363.34872308441561</v>
      </c>
      <c r="K356" s="518"/>
      <c r="L356" s="519"/>
    </row>
    <row r="357" spans="1:12">
      <c r="A357" s="303">
        <v>330</v>
      </c>
      <c r="B357" s="492" t="s">
        <v>152</v>
      </c>
      <c r="C357" s="493"/>
      <c r="D357" s="300">
        <f t="shared" si="30"/>
        <v>41</v>
      </c>
      <c r="E357" s="197">
        <v>33.75</v>
      </c>
      <c r="F357" s="283">
        <f t="shared" si="27"/>
        <v>33.351999999999997</v>
      </c>
      <c r="G357" s="165" t="s">
        <v>8</v>
      </c>
      <c r="H357" s="164">
        <f t="shared" si="29"/>
        <v>10920.130749999998</v>
      </c>
      <c r="I357" s="165">
        <f t="shared" si="28"/>
        <v>899.04925000000185</v>
      </c>
      <c r="J357" s="177">
        <f t="shared" si="25"/>
        <v>364.07278506760883</v>
      </c>
      <c r="K357" s="518"/>
      <c r="L357" s="519"/>
    </row>
    <row r="358" spans="1:12">
      <c r="A358" s="303">
        <v>331</v>
      </c>
      <c r="B358" s="492" t="s">
        <v>152</v>
      </c>
      <c r="C358" s="493"/>
      <c r="D358" s="300">
        <f t="shared" si="30"/>
        <v>40</v>
      </c>
      <c r="E358" s="197">
        <v>31.27</v>
      </c>
      <c r="F358" s="283">
        <f t="shared" si="27"/>
        <v>30.872</v>
      </c>
      <c r="G358" s="165" t="s">
        <v>8</v>
      </c>
      <c r="H358" s="164">
        <f t="shared" si="29"/>
        <v>10951.002749999998</v>
      </c>
      <c r="I358" s="165">
        <f t="shared" si="28"/>
        <v>868.17725000000246</v>
      </c>
      <c r="J358" s="177">
        <f t="shared" si="25"/>
        <v>364.74300698968682</v>
      </c>
      <c r="K358" s="518"/>
      <c r="L358" s="519"/>
    </row>
    <row r="359" spans="1:12">
      <c r="A359" s="303">
        <v>332</v>
      </c>
      <c r="B359" s="492" t="s">
        <v>152</v>
      </c>
      <c r="C359" s="493"/>
      <c r="D359" s="300">
        <f t="shared" si="30"/>
        <v>39</v>
      </c>
      <c r="E359" s="197">
        <v>33.71</v>
      </c>
      <c r="F359" s="283">
        <f t="shared" si="27"/>
        <v>33.311999999999998</v>
      </c>
      <c r="G359" s="165" t="s">
        <v>8</v>
      </c>
      <c r="H359" s="164">
        <f t="shared" si="29"/>
        <v>10984.314749999998</v>
      </c>
      <c r="I359" s="165">
        <f t="shared" si="28"/>
        <v>834.86525000000256</v>
      </c>
      <c r="J359" s="177">
        <f t="shared" si="25"/>
        <v>365.46620058479755</v>
      </c>
      <c r="K359" s="518"/>
      <c r="L359" s="519"/>
    </row>
    <row r="360" spans="1:12">
      <c r="A360" s="303">
        <v>333</v>
      </c>
      <c r="B360" s="492" t="s">
        <v>152</v>
      </c>
      <c r="C360" s="493"/>
      <c r="D360" s="300">
        <f t="shared" si="30"/>
        <v>38</v>
      </c>
      <c r="E360" s="197">
        <v>33.51</v>
      </c>
      <c r="F360" s="283">
        <f t="shared" si="27"/>
        <v>33.111999999999995</v>
      </c>
      <c r="G360" s="165" t="s">
        <v>8</v>
      </c>
      <c r="H360" s="164">
        <f t="shared" si="29"/>
        <v>11017.426749999997</v>
      </c>
      <c r="I360" s="165">
        <f t="shared" si="28"/>
        <v>801.75325000000339</v>
      </c>
      <c r="J360" s="177">
        <f t="shared" si="25"/>
        <v>366.1850522394958</v>
      </c>
      <c r="K360" s="518"/>
      <c r="L360" s="519"/>
    </row>
    <row r="361" spans="1:12">
      <c r="A361" s="303">
        <v>334</v>
      </c>
      <c r="B361" s="492" t="s">
        <v>152</v>
      </c>
      <c r="C361" s="493"/>
      <c r="D361" s="300">
        <f t="shared" si="30"/>
        <v>37</v>
      </c>
      <c r="E361" s="197">
        <v>31.8</v>
      </c>
      <c r="F361" s="283">
        <f t="shared" si="27"/>
        <v>31.402000000000001</v>
      </c>
      <c r="G361" s="165" t="s">
        <v>8</v>
      </c>
      <c r="H361" s="164">
        <f t="shared" si="29"/>
        <v>11048.828749999997</v>
      </c>
      <c r="I361" s="165">
        <f t="shared" si="28"/>
        <v>770.35125000000335</v>
      </c>
      <c r="J361" s="177">
        <f t="shared" si="25"/>
        <v>366.86678030366693</v>
      </c>
      <c r="K361" s="518"/>
      <c r="L361" s="519"/>
    </row>
    <row r="362" spans="1:12">
      <c r="A362" s="303">
        <v>335</v>
      </c>
      <c r="B362" s="492" t="s">
        <v>152</v>
      </c>
      <c r="C362" s="493"/>
      <c r="D362" s="300">
        <f t="shared" si="30"/>
        <v>36</v>
      </c>
      <c r="E362" s="197">
        <v>33.119999999999997</v>
      </c>
      <c r="F362" s="283">
        <f t="shared" si="27"/>
        <v>32.721999999999994</v>
      </c>
      <c r="G362" s="165" t="s">
        <v>8</v>
      </c>
      <c r="H362" s="164">
        <f t="shared" si="29"/>
        <v>11081.550749999997</v>
      </c>
      <c r="I362" s="165">
        <f t="shared" si="28"/>
        <v>737.62925000000359</v>
      </c>
      <c r="J362" s="177">
        <f t="shared" si="25"/>
        <v>367.57716517456072</v>
      </c>
      <c r="K362" s="518"/>
      <c r="L362" s="519"/>
    </row>
    <row r="363" spans="1:12">
      <c r="A363" s="303">
        <v>336</v>
      </c>
      <c r="B363" s="492" t="s">
        <v>152</v>
      </c>
      <c r="C363" s="493"/>
      <c r="D363" s="300">
        <f t="shared" si="30"/>
        <v>35</v>
      </c>
      <c r="E363" s="197">
        <v>33.01</v>
      </c>
      <c r="F363" s="283">
        <f t="shared" si="27"/>
        <v>32.611999999999995</v>
      </c>
      <c r="G363" s="165" t="s">
        <v>8</v>
      </c>
      <c r="H363" s="164">
        <f t="shared" si="29"/>
        <v>11114.162749999996</v>
      </c>
      <c r="I363" s="165">
        <f t="shared" si="28"/>
        <v>705.01725000000442</v>
      </c>
      <c r="J363" s="177">
        <f t="shared" si="25"/>
        <v>368.28516197822762</v>
      </c>
      <c r="K363" s="518"/>
      <c r="L363" s="519"/>
    </row>
    <row r="364" spans="1:12">
      <c r="A364" s="303">
        <v>337</v>
      </c>
      <c r="B364" s="492" t="s">
        <v>152</v>
      </c>
      <c r="C364" s="493"/>
      <c r="D364" s="300">
        <f t="shared" si="30"/>
        <v>34</v>
      </c>
      <c r="E364" s="197">
        <v>33.33</v>
      </c>
      <c r="F364" s="283">
        <f t="shared" si="27"/>
        <v>32.931999999999995</v>
      </c>
      <c r="G364" s="165" t="s">
        <v>8</v>
      </c>
      <c r="H364" s="164">
        <f t="shared" si="29"/>
        <v>11147.094749999997</v>
      </c>
      <c r="I364" s="165">
        <f t="shared" si="28"/>
        <v>672.08525000000373</v>
      </c>
      <c r="J364" s="177">
        <f t="shared" si="25"/>
        <v>369.00010588655459</v>
      </c>
      <c r="K364" s="518"/>
      <c r="L364" s="519"/>
    </row>
    <row r="365" spans="1:12">
      <c r="A365" s="303">
        <v>338</v>
      </c>
      <c r="B365" s="492" t="s">
        <v>152</v>
      </c>
      <c r="C365" s="493"/>
      <c r="D365" s="300">
        <f t="shared" si="30"/>
        <v>33</v>
      </c>
      <c r="E365" s="197">
        <v>33.42</v>
      </c>
      <c r="F365" s="283">
        <f t="shared" si="27"/>
        <v>33.021999999999998</v>
      </c>
      <c r="G365" s="165" t="s">
        <v>8</v>
      </c>
      <c r="H365" s="164">
        <f t="shared" si="29"/>
        <v>11180.116749999997</v>
      </c>
      <c r="I365" s="165">
        <f t="shared" si="28"/>
        <v>639.06325000000288</v>
      </c>
      <c r="J365" s="177">
        <f t="shared" si="25"/>
        <v>369.71700366806721</v>
      </c>
      <c r="K365" s="518"/>
      <c r="L365" s="519"/>
    </row>
    <row r="366" spans="1:12">
      <c r="A366" s="303">
        <v>339</v>
      </c>
      <c r="B366" s="492" t="s">
        <v>152</v>
      </c>
      <c r="C366" s="493"/>
      <c r="D366" s="300">
        <f t="shared" si="30"/>
        <v>32</v>
      </c>
      <c r="E366" s="197">
        <v>33.909999999999997</v>
      </c>
      <c r="F366" s="283">
        <f t="shared" si="27"/>
        <v>33.511999999999993</v>
      </c>
      <c r="G366" s="165" t="s">
        <v>8</v>
      </c>
      <c r="H366" s="164">
        <f t="shared" si="29"/>
        <v>11213.628749999998</v>
      </c>
      <c r="I366" s="165">
        <f t="shared" si="28"/>
        <v>605.55125000000226</v>
      </c>
      <c r="J366" s="177">
        <f t="shared" si="25"/>
        <v>370.44453920359058</v>
      </c>
      <c r="K366" s="240"/>
      <c r="L366" s="241"/>
    </row>
    <row r="367" spans="1:12">
      <c r="A367" s="303">
        <v>340</v>
      </c>
      <c r="B367" s="492" t="s">
        <v>152</v>
      </c>
      <c r="C367" s="493"/>
      <c r="D367" s="300">
        <f t="shared" si="30"/>
        <v>31</v>
      </c>
      <c r="E367" s="197">
        <v>32.72</v>
      </c>
      <c r="F367" s="283">
        <f t="shared" si="27"/>
        <v>32.321999999999996</v>
      </c>
      <c r="G367" s="165" t="s">
        <v>8</v>
      </c>
      <c r="H367" s="164">
        <f t="shared" si="29"/>
        <v>11245.950749999998</v>
      </c>
      <c r="I367" s="165">
        <f t="shared" si="28"/>
        <v>573.22925000000214</v>
      </c>
      <c r="J367" s="177">
        <f t="shared" si="25"/>
        <v>371.14624019365925</v>
      </c>
      <c r="K367" s="240"/>
      <c r="L367" s="241"/>
    </row>
    <row r="368" spans="1:12">
      <c r="A368" s="303">
        <v>341</v>
      </c>
      <c r="B368" s="492" t="s">
        <v>152</v>
      </c>
      <c r="C368" s="493"/>
      <c r="D368" s="300">
        <f t="shared" si="30"/>
        <v>30</v>
      </c>
      <c r="E368" s="197">
        <v>33.92</v>
      </c>
      <c r="F368" s="283">
        <f t="shared" si="27"/>
        <v>33.521999999999998</v>
      </c>
      <c r="G368" s="165" t="s">
        <v>8</v>
      </c>
      <c r="H368" s="164">
        <f t="shared" si="29"/>
        <v>11279.472749999999</v>
      </c>
      <c r="I368" s="165">
        <f t="shared" si="28"/>
        <v>539.7072500000013</v>
      </c>
      <c r="J368" s="177">
        <f t="shared" si="25"/>
        <v>371.87399282620322</v>
      </c>
      <c r="K368" s="240"/>
      <c r="L368" s="241"/>
    </row>
    <row r="369" spans="1:12">
      <c r="A369" s="303">
        <v>342</v>
      </c>
      <c r="B369" s="492" t="s">
        <v>152</v>
      </c>
      <c r="C369" s="493"/>
      <c r="D369" s="300">
        <f t="shared" si="30"/>
        <v>29</v>
      </c>
      <c r="E369" s="197">
        <v>33.69</v>
      </c>
      <c r="F369" s="283">
        <f t="shared" si="27"/>
        <v>33.291999999999994</v>
      </c>
      <c r="G369" s="165" t="s">
        <v>8</v>
      </c>
      <c r="H369" s="164">
        <f t="shared" si="29"/>
        <v>11312.764749999998</v>
      </c>
      <c r="I369" s="165">
        <f t="shared" si="28"/>
        <v>506.41525000000183</v>
      </c>
      <c r="J369" s="177">
        <f t="shared" si="25"/>
        <v>372.5967522272727</v>
      </c>
      <c r="K369" s="560"/>
      <c r="L369" s="519"/>
    </row>
    <row r="370" spans="1:12">
      <c r="A370" s="303">
        <v>343</v>
      </c>
      <c r="B370" s="492" t="s">
        <v>152</v>
      </c>
      <c r="C370" s="493"/>
      <c r="D370" s="300">
        <f t="shared" si="30"/>
        <v>28</v>
      </c>
      <c r="E370" s="197">
        <v>33.74</v>
      </c>
      <c r="F370" s="283">
        <f t="shared" si="27"/>
        <v>33.341999999999999</v>
      </c>
      <c r="G370" s="165" t="s">
        <v>8</v>
      </c>
      <c r="H370" s="164">
        <f t="shared" si="29"/>
        <v>11346.106749999999</v>
      </c>
      <c r="I370" s="165">
        <f t="shared" si="28"/>
        <v>473.07325000000128</v>
      </c>
      <c r="J370" s="177">
        <f t="shared" si="25"/>
        <v>373.32059711344539</v>
      </c>
      <c r="K370" s="560"/>
      <c r="L370" s="519"/>
    </row>
    <row r="371" spans="1:12">
      <c r="A371" s="303">
        <v>344</v>
      </c>
      <c r="B371" s="492" t="s">
        <v>152</v>
      </c>
      <c r="C371" s="493"/>
      <c r="D371" s="300">
        <f t="shared" si="30"/>
        <v>27</v>
      </c>
      <c r="E371" s="197">
        <v>32.99</v>
      </c>
      <c r="F371" s="283">
        <f t="shared" si="27"/>
        <v>32.591999999999999</v>
      </c>
      <c r="G371" s="165" t="s">
        <v>8</v>
      </c>
      <c r="H371" s="164">
        <f t="shared" si="29"/>
        <v>11378.69875</v>
      </c>
      <c r="I371" s="165">
        <f t="shared" si="28"/>
        <v>440.48125000000073</v>
      </c>
      <c r="J371" s="177">
        <f t="shared" si="25"/>
        <v>374.0281597230711</v>
      </c>
      <c r="K371" s="560"/>
      <c r="L371" s="519"/>
    </row>
    <row r="372" spans="1:12">
      <c r="A372" s="303">
        <v>345</v>
      </c>
      <c r="B372" s="492" t="s">
        <v>152</v>
      </c>
      <c r="C372" s="493"/>
      <c r="D372" s="300">
        <f t="shared" si="30"/>
        <v>26</v>
      </c>
      <c r="E372" s="197">
        <v>33.42</v>
      </c>
      <c r="F372" s="283">
        <f t="shared" si="27"/>
        <v>33.021999999999998</v>
      </c>
      <c r="G372" s="165" t="s">
        <v>8</v>
      </c>
      <c r="H372" s="164">
        <f t="shared" si="29"/>
        <v>11411.72075</v>
      </c>
      <c r="I372" s="165">
        <f t="shared" si="28"/>
        <v>407.45924999999988</v>
      </c>
      <c r="J372" s="177">
        <f t="shared" si="25"/>
        <v>374.74505750458371</v>
      </c>
      <c r="K372" s="560"/>
      <c r="L372" s="519"/>
    </row>
    <row r="373" spans="1:12">
      <c r="A373" s="303">
        <v>346</v>
      </c>
      <c r="B373" s="492" t="s">
        <v>152</v>
      </c>
      <c r="C373" s="493"/>
      <c r="D373" s="300">
        <f t="shared" si="30"/>
        <v>25</v>
      </c>
      <c r="E373" s="197">
        <v>32.89</v>
      </c>
      <c r="F373" s="283">
        <f t="shared" si="27"/>
        <v>32.491999999999997</v>
      </c>
      <c r="G373" s="165" t="s">
        <v>8</v>
      </c>
      <c r="H373" s="164">
        <f t="shared" si="29"/>
        <v>11444.212750000001</v>
      </c>
      <c r="I373" s="165">
        <f t="shared" si="28"/>
        <v>374.96724999999969</v>
      </c>
      <c r="J373" s="177">
        <f t="shared" si="25"/>
        <v>375.45044914400313</v>
      </c>
      <c r="K373" s="560"/>
      <c r="L373" s="519"/>
    </row>
    <row r="374" spans="1:12">
      <c r="A374" s="303">
        <v>347</v>
      </c>
      <c r="B374" s="492" t="s">
        <v>152</v>
      </c>
      <c r="C374" s="493"/>
      <c r="D374" s="300">
        <f t="shared" si="30"/>
        <v>24</v>
      </c>
      <c r="E374" s="197">
        <v>33.450000000000003</v>
      </c>
      <c r="F374" s="283">
        <f t="shared" si="27"/>
        <v>33.052</v>
      </c>
      <c r="G374" s="165" t="s">
        <v>8</v>
      </c>
      <c r="H374" s="164">
        <f t="shared" si="29"/>
        <v>11477.26475</v>
      </c>
      <c r="I374" s="165">
        <f t="shared" si="28"/>
        <v>341.91525000000001</v>
      </c>
      <c r="J374" s="177">
        <f t="shared" si="25"/>
        <v>376.16799821657759</v>
      </c>
      <c r="K374" s="560"/>
      <c r="L374" s="519"/>
    </row>
    <row r="375" spans="1:12">
      <c r="A375" s="303">
        <v>348</v>
      </c>
      <c r="B375" s="492" t="s">
        <v>152</v>
      </c>
      <c r="C375" s="493"/>
      <c r="D375" s="300">
        <f t="shared" si="30"/>
        <v>23</v>
      </c>
      <c r="E375" s="197">
        <v>33.43</v>
      </c>
      <c r="F375" s="283">
        <f t="shared" si="27"/>
        <v>33.031999999999996</v>
      </c>
      <c r="G375" s="165" t="s">
        <v>8</v>
      </c>
      <c r="H375" s="164">
        <f t="shared" si="29"/>
        <v>11510.29675</v>
      </c>
      <c r="I375" s="165">
        <f t="shared" si="28"/>
        <v>308.88325000000077</v>
      </c>
      <c r="J375" s="177">
        <f t="shared" si="25"/>
        <v>376.8851130951108</v>
      </c>
      <c r="K375" s="560"/>
      <c r="L375" s="519"/>
    </row>
    <row r="376" spans="1:12">
      <c r="A376" s="303">
        <v>349</v>
      </c>
      <c r="B376" s="492" t="s">
        <v>152</v>
      </c>
      <c r="C376" s="493"/>
      <c r="D376" s="300">
        <f t="shared" si="30"/>
        <v>22</v>
      </c>
      <c r="E376" s="197">
        <v>33.24</v>
      </c>
      <c r="F376" s="283">
        <f t="shared" si="27"/>
        <v>32.841999999999999</v>
      </c>
      <c r="G376" s="165" t="s">
        <v>8</v>
      </c>
      <c r="H376" s="164">
        <f t="shared" si="29"/>
        <v>11543.13875</v>
      </c>
      <c r="I376" s="165">
        <f t="shared" si="28"/>
        <v>276.04125000000022</v>
      </c>
      <c r="J376" s="177">
        <f t="shared" si="25"/>
        <v>377.59810313025213</v>
      </c>
      <c r="K376" s="560"/>
      <c r="L376" s="519"/>
    </row>
    <row r="377" spans="1:12">
      <c r="A377" s="303">
        <v>350</v>
      </c>
      <c r="B377" s="492" t="s">
        <v>152</v>
      </c>
      <c r="C377" s="493"/>
      <c r="D377" s="300">
        <f t="shared" si="30"/>
        <v>21</v>
      </c>
      <c r="E377" s="197">
        <v>33.49</v>
      </c>
      <c r="F377" s="283">
        <f t="shared" si="27"/>
        <v>33.091999999999999</v>
      </c>
      <c r="G377" s="165" t="s">
        <v>8</v>
      </c>
      <c r="H377" s="164">
        <f t="shared" si="29"/>
        <v>11576.230750000001</v>
      </c>
      <c r="I377" s="165">
        <f t="shared" si="28"/>
        <v>242.94924999999967</v>
      </c>
      <c r="J377" s="177">
        <f t="shared" si="25"/>
        <v>378.31652059090914</v>
      </c>
      <c r="K377" s="560"/>
      <c r="L377" s="519"/>
    </row>
    <row r="378" spans="1:12">
      <c r="A378" s="303">
        <v>351</v>
      </c>
      <c r="B378" s="492" t="s">
        <v>152</v>
      </c>
      <c r="C378" s="493"/>
      <c r="D378" s="300">
        <f t="shared" si="30"/>
        <v>20</v>
      </c>
      <c r="E378" s="197">
        <v>33.19</v>
      </c>
      <c r="F378" s="283">
        <f t="shared" si="27"/>
        <v>32.791999999999994</v>
      </c>
      <c r="G378" s="165" t="s">
        <v>8</v>
      </c>
      <c r="H378" s="164">
        <f t="shared" si="29"/>
        <v>11609.02275</v>
      </c>
      <c r="I378" s="165">
        <f t="shared" si="28"/>
        <v>210.1572500000002</v>
      </c>
      <c r="J378" s="177">
        <f t="shared" si="25"/>
        <v>379.02842514094732</v>
      </c>
      <c r="K378" s="560"/>
      <c r="L378" s="519"/>
    </row>
    <row r="379" spans="1:12" ht="13.5" thickBot="1">
      <c r="A379" s="303">
        <v>352</v>
      </c>
      <c r="B379" s="492" t="s">
        <v>152</v>
      </c>
      <c r="C379" s="493"/>
      <c r="D379" s="300">
        <f t="shared" si="30"/>
        <v>19</v>
      </c>
      <c r="E379" s="197">
        <v>33.6</v>
      </c>
      <c r="F379" s="283">
        <f t="shared" si="27"/>
        <v>33.201999999999998</v>
      </c>
      <c r="G379" s="165" t="s">
        <v>8</v>
      </c>
      <c r="H379" s="164">
        <f t="shared" si="29"/>
        <v>11642.224749999999</v>
      </c>
      <c r="I379" s="165">
        <f t="shared" si="28"/>
        <v>176.95525000000089</v>
      </c>
      <c r="J379" s="177">
        <f t="shared" si="25"/>
        <v>379.74923066883116</v>
      </c>
      <c r="K379" s="560"/>
      <c r="L379" s="519"/>
    </row>
    <row r="380" spans="1:12" ht="13.5" thickBot="1">
      <c r="A380" s="303">
        <v>353</v>
      </c>
      <c r="B380" s="492" t="s">
        <v>152</v>
      </c>
      <c r="C380" s="493"/>
      <c r="D380" s="300">
        <f t="shared" si="30"/>
        <v>18</v>
      </c>
      <c r="E380" s="197">
        <v>33.880000000000003</v>
      </c>
      <c r="F380" s="283">
        <f t="shared" si="27"/>
        <v>33.481999999999999</v>
      </c>
      <c r="G380" s="165" t="s">
        <v>8</v>
      </c>
      <c r="H380" s="164">
        <f t="shared" si="29"/>
        <v>11675.706749999999</v>
      </c>
      <c r="I380" s="165">
        <f t="shared" si="28"/>
        <v>143.47325000000092</v>
      </c>
      <c r="J380" s="177">
        <f t="shared" si="25"/>
        <v>380.47611491329258</v>
      </c>
      <c r="K380" s="168" t="s">
        <v>89</v>
      </c>
      <c r="L380" s="169">
        <f>K5</f>
        <v>11820.84</v>
      </c>
    </row>
    <row r="381" spans="1:12" ht="13.5" thickBot="1">
      <c r="A381" s="303">
        <v>354</v>
      </c>
      <c r="B381" s="492" t="s">
        <v>152</v>
      </c>
      <c r="C381" s="493"/>
      <c r="D381" s="300">
        <f t="shared" si="30"/>
        <v>17</v>
      </c>
      <c r="E381" s="197">
        <v>33.29</v>
      </c>
      <c r="F381" s="283">
        <f t="shared" si="27"/>
        <v>32.891999999999996</v>
      </c>
      <c r="G381" s="165" t="s">
        <v>8</v>
      </c>
      <c r="H381" s="164">
        <f t="shared" si="29"/>
        <v>11708.598749999999</v>
      </c>
      <c r="I381" s="165">
        <f t="shared" si="28"/>
        <v>110.58125000000109</v>
      </c>
      <c r="J381" s="177">
        <f t="shared" si="25"/>
        <v>381.19019043353705</v>
      </c>
      <c r="K381" s="560"/>
      <c r="L381" s="519"/>
    </row>
    <row r="382" spans="1:12" s="389" customFormat="1" hidden="1">
      <c r="A382" s="338">
        <v>355</v>
      </c>
      <c r="B382" s="569" t="s">
        <v>152</v>
      </c>
      <c r="C382" s="570"/>
      <c r="D382" s="327">
        <f t="shared" si="30"/>
        <v>16</v>
      </c>
      <c r="E382" s="388">
        <v>32.94</v>
      </c>
      <c r="F382" s="339">
        <f t="shared" si="27"/>
        <v>32.541999999999994</v>
      </c>
      <c r="G382" s="326" t="s">
        <v>10</v>
      </c>
      <c r="H382" s="340">
        <f t="shared" si="29"/>
        <v>11708.598749999999</v>
      </c>
      <c r="I382" s="326">
        <f t="shared" si="28"/>
        <v>110.58125000000109</v>
      </c>
      <c r="J382" s="341">
        <f t="shared" si="25"/>
        <v>381.19019043353705</v>
      </c>
      <c r="K382" s="571"/>
      <c r="L382" s="572"/>
    </row>
    <row r="383" spans="1:12" s="389" customFormat="1" hidden="1">
      <c r="A383" s="338">
        <v>356</v>
      </c>
      <c r="B383" s="569" t="s">
        <v>152</v>
      </c>
      <c r="C383" s="570"/>
      <c r="D383" s="327">
        <f t="shared" si="30"/>
        <v>15</v>
      </c>
      <c r="E383" s="388">
        <v>33.14</v>
      </c>
      <c r="F383" s="339">
        <f t="shared" si="27"/>
        <v>32.741999999999997</v>
      </c>
      <c r="G383" s="326" t="s">
        <v>10</v>
      </c>
      <c r="H383" s="340">
        <f t="shared" si="29"/>
        <v>11708.598749999999</v>
      </c>
      <c r="I383" s="326">
        <f t="shared" si="28"/>
        <v>110.58125000000109</v>
      </c>
      <c r="J383" s="341">
        <f t="shared" si="25"/>
        <v>381.19019043353705</v>
      </c>
      <c r="K383" s="571"/>
      <c r="L383" s="572"/>
    </row>
    <row r="384" spans="1:12" s="389" customFormat="1" ht="12.95" hidden="1" customHeight="1" thickBot="1">
      <c r="A384" s="338">
        <v>357</v>
      </c>
      <c r="B384" s="569" t="s">
        <v>152</v>
      </c>
      <c r="C384" s="570"/>
      <c r="D384" s="327">
        <f t="shared" si="30"/>
        <v>14</v>
      </c>
      <c r="E384" s="339">
        <v>31.72</v>
      </c>
      <c r="F384" s="339">
        <f t="shared" si="27"/>
        <v>31.321999999999999</v>
      </c>
      <c r="G384" s="326" t="s">
        <v>10</v>
      </c>
      <c r="H384" s="340">
        <f t="shared" si="29"/>
        <v>11708.598749999999</v>
      </c>
      <c r="I384" s="326">
        <f t="shared" si="28"/>
        <v>110.58125000000109</v>
      </c>
      <c r="J384" s="341">
        <f t="shared" si="25"/>
        <v>381.19019043353705</v>
      </c>
      <c r="K384" s="571"/>
      <c r="L384" s="572"/>
    </row>
    <row r="385" spans="1:12" ht="12.95" customHeight="1" thickBot="1">
      <c r="A385" s="227" t="s">
        <v>183</v>
      </c>
      <c r="B385" s="565" t="s">
        <v>123</v>
      </c>
      <c r="C385" s="473"/>
      <c r="D385" s="474"/>
      <c r="E385" s="228">
        <v>3.23</v>
      </c>
      <c r="F385" s="201">
        <f t="shared" si="27"/>
        <v>2.8319999999999999</v>
      </c>
      <c r="G385" s="201" t="s">
        <v>8</v>
      </c>
      <c r="H385" s="201">
        <f t="shared" si="29"/>
        <v>11711.43075</v>
      </c>
      <c r="I385" s="307">
        <f t="shared" si="28"/>
        <v>107.74925000000076</v>
      </c>
      <c r="J385" s="304">
        <f t="shared" si="25"/>
        <v>381.25167230977848</v>
      </c>
      <c r="K385" s="560"/>
      <c r="L385" s="519"/>
    </row>
    <row r="386" spans="1:12" ht="12.6" customHeight="1" thickBot="1">
      <c r="A386" s="227" t="s">
        <v>184</v>
      </c>
      <c r="B386" s="565" t="s">
        <v>123</v>
      </c>
      <c r="C386" s="473"/>
      <c r="D386" s="474"/>
      <c r="E386" s="397">
        <v>3.23</v>
      </c>
      <c r="F386" s="345">
        <f t="shared" si="27"/>
        <v>2.8319999999999999</v>
      </c>
      <c r="G386" s="345" t="s">
        <v>8</v>
      </c>
      <c r="H386" s="345">
        <f t="shared" si="29"/>
        <v>11714.26275</v>
      </c>
      <c r="I386" s="391">
        <f t="shared" si="28"/>
        <v>104.91725000000042</v>
      </c>
      <c r="J386" s="392">
        <f t="shared" si="25"/>
        <v>381.31315418601991</v>
      </c>
      <c r="K386" s="560"/>
      <c r="L386" s="519"/>
    </row>
    <row r="387" spans="1:12" ht="12.6" customHeight="1">
      <c r="A387" s="451" t="s">
        <v>88</v>
      </c>
      <c r="B387" s="567" t="s">
        <v>86</v>
      </c>
      <c r="C387" s="568"/>
      <c r="D387" s="568"/>
      <c r="E387" s="295">
        <v>7.24</v>
      </c>
      <c r="F387" s="386">
        <f>E387-($C$10)</f>
        <v>6.8420000000000005</v>
      </c>
      <c r="G387" s="362" t="s">
        <v>8</v>
      </c>
      <c r="H387" s="393">
        <f t="shared" si="29"/>
        <v>11721.10475</v>
      </c>
      <c r="I387" s="238">
        <f t="shared" si="28"/>
        <v>98.075249999999869</v>
      </c>
      <c r="J387" s="395">
        <f t="shared" si="25"/>
        <v>381.46169196753249</v>
      </c>
      <c r="K387" s="573" t="s">
        <v>90</v>
      </c>
      <c r="L387" s="574"/>
    </row>
    <row r="388" spans="1:12" ht="12.95" customHeight="1" thickBot="1">
      <c r="A388" s="452"/>
      <c r="B388" s="561" t="s">
        <v>87</v>
      </c>
      <c r="C388" s="562"/>
      <c r="D388" s="562"/>
      <c r="E388" s="296">
        <v>100.6</v>
      </c>
      <c r="F388" s="344">
        <f>E388</f>
        <v>100.6</v>
      </c>
      <c r="G388" s="363" t="s">
        <v>8</v>
      </c>
      <c r="H388" s="394">
        <f t="shared" si="29"/>
        <v>11821.704750000001</v>
      </c>
      <c r="I388" s="239">
        <f t="shared" si="28"/>
        <v>-2.5247500000004948</v>
      </c>
      <c r="J388" s="396">
        <f t="shared" si="25"/>
        <v>383.64568799503439</v>
      </c>
      <c r="K388" s="575" t="s">
        <v>143</v>
      </c>
      <c r="L388" s="576"/>
    </row>
    <row r="389" spans="1:12" ht="13.5" customHeight="1" thickBot="1">
      <c r="A389" s="566"/>
      <c r="B389" s="563" t="s">
        <v>83</v>
      </c>
      <c r="C389" s="564"/>
      <c r="D389" s="564"/>
      <c r="E389" s="564"/>
      <c r="F389" s="390">
        <f>-2.52</f>
        <v>-2.52</v>
      </c>
      <c r="G389" s="361" t="s">
        <v>8</v>
      </c>
      <c r="H389" s="383">
        <f t="shared" si="29"/>
        <v>11819.18475</v>
      </c>
      <c r="I389" s="384">
        <f t="shared" si="28"/>
        <v>-4.7500000000582077E-3</v>
      </c>
      <c r="J389" s="385">
        <f t="shared" si="25"/>
        <v>383.59097954583655</v>
      </c>
      <c r="K389" s="577"/>
      <c r="L389" s="578"/>
    </row>
    <row r="390" spans="1:12">
      <c r="A390"/>
      <c r="K390"/>
    </row>
    <row r="391" spans="1:12">
      <c r="A391"/>
      <c r="K391"/>
    </row>
    <row r="392" spans="1:12">
      <c r="A392"/>
      <c r="K392"/>
    </row>
    <row r="393" spans="1:12">
      <c r="A393"/>
      <c r="K393"/>
    </row>
    <row r="394" spans="1:12">
      <c r="A394"/>
      <c r="K394"/>
    </row>
    <row r="395" spans="1:12">
      <c r="A395"/>
      <c r="K395"/>
    </row>
    <row r="396" spans="1:12">
      <c r="A396"/>
      <c r="K396"/>
    </row>
    <row r="397" spans="1:12">
      <c r="A397"/>
      <c r="K397"/>
    </row>
    <row r="398" spans="1:12">
      <c r="A398"/>
      <c r="K398"/>
    </row>
    <row r="399" spans="1:12">
      <c r="A399"/>
      <c r="K399"/>
    </row>
    <row r="400" spans="1:12">
      <c r="A400"/>
      <c r="K400"/>
    </row>
    <row r="401" spans="1:15">
      <c r="A401"/>
      <c r="K401"/>
    </row>
    <row r="402" spans="1:15">
      <c r="A402"/>
      <c r="K402"/>
    </row>
    <row r="403" spans="1:15">
      <c r="A403"/>
      <c r="K403"/>
    </row>
    <row r="404" spans="1:15">
      <c r="A404"/>
    </row>
    <row r="405" spans="1:15">
      <c r="A405"/>
    </row>
    <row r="406" spans="1:15">
      <c r="A406"/>
    </row>
    <row r="407" spans="1:15">
      <c r="A407"/>
    </row>
    <row r="408" spans="1:15">
      <c r="A408"/>
    </row>
    <row r="409" spans="1:15">
      <c r="A409"/>
    </row>
    <row r="410" spans="1:15">
      <c r="A410"/>
    </row>
    <row r="411" spans="1:15">
      <c r="A411"/>
    </row>
    <row r="412" spans="1:15">
      <c r="A412"/>
    </row>
    <row r="413" spans="1:15">
      <c r="A413"/>
    </row>
    <row r="414" spans="1:15" s="205" customFormat="1">
      <c r="A414"/>
      <c r="C414" s="6"/>
      <c r="D414" s="6"/>
      <c r="E414" s="2"/>
      <c r="F414" s="2"/>
      <c r="G414" s="2"/>
      <c r="H414" s="2"/>
      <c r="I414" s="2"/>
      <c r="J414" s="4"/>
      <c r="K414" s="9"/>
      <c r="L414"/>
      <c r="M414"/>
      <c r="N414"/>
      <c r="O414"/>
    </row>
    <row r="415" spans="1:15" s="205" customFormat="1">
      <c r="A415"/>
      <c r="C415" s="6"/>
      <c r="D415" s="6"/>
      <c r="E415" s="2"/>
      <c r="F415" s="2"/>
      <c r="G415" s="2"/>
      <c r="H415" s="2"/>
      <c r="I415" s="2"/>
      <c r="J415" s="4"/>
      <c r="K415" s="9"/>
      <c r="L415"/>
      <c r="M415"/>
      <c r="N415"/>
      <c r="O415"/>
    </row>
    <row r="416" spans="1:15" s="205" customFormat="1">
      <c r="A416"/>
      <c r="C416" s="6"/>
      <c r="D416" s="6"/>
      <c r="E416" s="2"/>
      <c r="F416" s="2"/>
      <c r="G416" s="2"/>
      <c r="H416" s="2"/>
      <c r="I416" s="2"/>
      <c r="J416" s="4"/>
      <c r="K416" s="9"/>
      <c r="L416"/>
      <c r="M416"/>
      <c r="N416"/>
      <c r="O416"/>
    </row>
    <row r="417" spans="1:15" s="205" customFormat="1">
      <c r="A417"/>
      <c r="C417" s="6"/>
      <c r="D417" s="6"/>
      <c r="E417" s="2"/>
      <c r="F417" s="2"/>
      <c r="G417" s="2"/>
      <c r="H417" s="2"/>
      <c r="I417" s="2"/>
      <c r="J417" s="4"/>
      <c r="K417" s="9"/>
      <c r="L417"/>
      <c r="M417"/>
      <c r="N417"/>
      <c r="O417"/>
    </row>
    <row r="418" spans="1:15" s="205" customFormat="1">
      <c r="A418"/>
      <c r="C418" s="6"/>
      <c r="D418" s="6"/>
      <c r="E418" s="2"/>
      <c r="F418" s="2"/>
      <c r="G418" s="2"/>
      <c r="H418" s="2"/>
      <c r="I418" s="2"/>
      <c r="J418" s="4"/>
      <c r="K418" s="9"/>
      <c r="L418"/>
      <c r="M418"/>
      <c r="N418"/>
      <c r="O418"/>
    </row>
    <row r="419" spans="1:15" s="205" customFormat="1">
      <c r="A419"/>
      <c r="C419" s="6"/>
      <c r="D419" s="6"/>
      <c r="E419" s="2"/>
      <c r="F419" s="2"/>
      <c r="G419" s="2"/>
      <c r="H419" s="2"/>
      <c r="I419" s="2"/>
      <c r="J419" s="4"/>
      <c r="K419" s="9"/>
      <c r="L419"/>
      <c r="M419"/>
      <c r="N419"/>
      <c r="O419"/>
    </row>
    <row r="420" spans="1:15" s="205" customFormat="1">
      <c r="A420"/>
      <c r="C420" s="6"/>
      <c r="D420" s="6"/>
      <c r="E420" s="2"/>
      <c r="F420" s="2"/>
      <c r="G420" s="2"/>
      <c r="H420" s="2"/>
      <c r="I420" s="2"/>
      <c r="J420" s="4"/>
      <c r="K420" s="9"/>
      <c r="L420"/>
      <c r="M420"/>
      <c r="N420"/>
      <c r="O420"/>
    </row>
    <row r="421" spans="1:15" s="205" customFormat="1">
      <c r="A421"/>
      <c r="C421" s="6"/>
      <c r="D421" s="6"/>
      <c r="E421" s="2"/>
      <c r="F421" s="2"/>
      <c r="G421" s="2"/>
      <c r="H421" s="2"/>
      <c r="I421" s="2"/>
      <c r="J421" s="4"/>
      <c r="K421" s="9"/>
      <c r="L421"/>
      <c r="M421"/>
      <c r="N421"/>
      <c r="O421"/>
    </row>
    <row r="422" spans="1:15" s="205" customFormat="1">
      <c r="A422"/>
      <c r="C422" s="6"/>
      <c r="D422" s="6"/>
      <c r="E422" s="2"/>
      <c r="F422" s="2"/>
      <c r="G422" s="2"/>
      <c r="H422" s="2"/>
      <c r="I422" s="2"/>
      <c r="J422" s="4"/>
      <c r="K422" s="9"/>
      <c r="L422"/>
      <c r="M422"/>
      <c r="N422"/>
      <c r="O422"/>
    </row>
    <row r="423" spans="1:15" s="205" customFormat="1">
      <c r="A423"/>
      <c r="C423" s="6"/>
      <c r="D423" s="6"/>
      <c r="E423" s="2"/>
      <c r="F423" s="2"/>
      <c r="G423" s="2"/>
      <c r="H423" s="2"/>
      <c r="I423" s="2"/>
      <c r="J423" s="4"/>
      <c r="K423" s="9"/>
      <c r="L423"/>
      <c r="M423"/>
      <c r="N423"/>
      <c r="O423"/>
    </row>
    <row r="424" spans="1:15" s="205" customFormat="1">
      <c r="A424"/>
      <c r="C424" s="6"/>
      <c r="D424" s="6"/>
      <c r="E424" s="2"/>
      <c r="F424" s="2"/>
      <c r="G424" s="2"/>
      <c r="H424" s="2"/>
      <c r="I424" s="2"/>
      <c r="J424" s="4"/>
      <c r="K424" s="9"/>
      <c r="L424"/>
      <c r="M424"/>
      <c r="N424"/>
      <c r="O424"/>
    </row>
    <row r="425" spans="1:15" s="205" customFormat="1">
      <c r="A425"/>
      <c r="C425" s="6"/>
      <c r="D425" s="6"/>
      <c r="E425" s="2"/>
      <c r="F425" s="2"/>
      <c r="G425" s="2"/>
      <c r="H425" s="2"/>
      <c r="I425" s="2"/>
      <c r="J425" s="4"/>
      <c r="K425" s="9"/>
      <c r="L425"/>
      <c r="M425"/>
      <c r="N425"/>
      <c r="O425"/>
    </row>
    <row r="426" spans="1:15" s="205" customFormat="1">
      <c r="A426"/>
      <c r="C426" s="6"/>
      <c r="D426" s="6"/>
      <c r="E426" s="2"/>
      <c r="F426" s="2"/>
      <c r="G426" s="2"/>
      <c r="H426" s="2"/>
      <c r="I426" s="2"/>
      <c r="J426" s="4"/>
      <c r="K426" s="9"/>
      <c r="L426"/>
      <c r="M426"/>
      <c r="N426"/>
      <c r="O426"/>
    </row>
    <row r="427" spans="1:15" s="205" customFormat="1">
      <c r="A427"/>
      <c r="C427" s="6"/>
      <c r="D427" s="6"/>
      <c r="E427" s="2"/>
      <c r="F427" s="2"/>
      <c r="G427" s="2"/>
      <c r="H427" s="2"/>
      <c r="I427" s="2"/>
      <c r="J427" s="4"/>
      <c r="K427" s="9"/>
      <c r="L427"/>
      <c r="M427"/>
      <c r="N427"/>
      <c r="O427"/>
    </row>
    <row r="428" spans="1:15" s="205" customFormat="1">
      <c r="A428"/>
      <c r="C428" s="6"/>
      <c r="D428" s="6"/>
      <c r="E428" s="2"/>
      <c r="F428" s="2"/>
      <c r="G428" s="2"/>
      <c r="H428" s="2"/>
      <c r="I428" s="2"/>
      <c r="J428" s="4"/>
      <c r="K428" s="9"/>
      <c r="L428"/>
      <c r="M428"/>
      <c r="N428"/>
      <c r="O428"/>
    </row>
    <row r="429" spans="1:15" s="205" customFormat="1">
      <c r="A429"/>
      <c r="C429" s="6"/>
      <c r="D429" s="6"/>
      <c r="E429" s="2"/>
      <c r="F429" s="2"/>
      <c r="G429" s="2"/>
      <c r="H429" s="2"/>
      <c r="I429" s="2"/>
      <c r="J429" s="4"/>
      <c r="K429" s="9"/>
      <c r="L429"/>
      <c r="M429"/>
      <c r="N429"/>
      <c r="O429"/>
    </row>
    <row r="430" spans="1:15" s="205" customFormat="1">
      <c r="A430"/>
      <c r="C430" s="6"/>
      <c r="D430" s="6"/>
      <c r="E430" s="2"/>
      <c r="F430" s="2"/>
      <c r="G430" s="2"/>
      <c r="H430" s="2"/>
      <c r="I430" s="2"/>
      <c r="J430" s="4"/>
      <c r="K430" s="9"/>
      <c r="L430"/>
      <c r="M430"/>
      <c r="N430"/>
      <c r="O430"/>
    </row>
    <row r="431" spans="1:15" s="205" customFormat="1">
      <c r="A431"/>
      <c r="C431" s="6"/>
      <c r="D431" s="6"/>
      <c r="E431" s="2"/>
      <c r="F431" s="2"/>
      <c r="G431" s="2"/>
      <c r="H431" s="2"/>
      <c r="I431" s="2"/>
      <c r="J431" s="4"/>
      <c r="K431" s="9"/>
      <c r="L431"/>
      <c r="M431"/>
      <c r="N431"/>
      <c r="O431"/>
    </row>
    <row r="432" spans="1:15" s="205" customFormat="1">
      <c r="A432"/>
      <c r="C432" s="6"/>
      <c r="D432" s="6"/>
      <c r="E432" s="2"/>
      <c r="F432" s="2"/>
      <c r="G432" s="2"/>
      <c r="H432" s="2"/>
      <c r="I432" s="2"/>
      <c r="J432" s="4"/>
      <c r="K432" s="9"/>
      <c r="L432"/>
      <c r="M432"/>
      <c r="N432"/>
      <c r="O432"/>
    </row>
    <row r="433" spans="1:15" s="205" customFormat="1">
      <c r="A433"/>
      <c r="C433" s="6"/>
      <c r="D433" s="6"/>
      <c r="E433" s="2"/>
      <c r="F433" s="2"/>
      <c r="G433" s="2"/>
      <c r="H433" s="2"/>
      <c r="I433" s="2"/>
      <c r="J433" s="4"/>
      <c r="K433" s="9"/>
      <c r="L433"/>
      <c r="M433"/>
      <c r="N433"/>
      <c r="O433"/>
    </row>
    <row r="434" spans="1:15" s="205" customFormat="1">
      <c r="A434"/>
      <c r="C434" s="6"/>
      <c r="D434" s="6"/>
      <c r="E434" s="2"/>
      <c r="F434" s="2"/>
      <c r="G434" s="2"/>
      <c r="H434" s="2"/>
      <c r="I434" s="2"/>
      <c r="J434" s="4"/>
      <c r="K434" s="9"/>
      <c r="L434"/>
      <c r="M434"/>
      <c r="N434"/>
      <c r="O434"/>
    </row>
    <row r="435" spans="1:15" s="205" customFormat="1">
      <c r="A435"/>
      <c r="C435" s="6"/>
      <c r="D435" s="6"/>
      <c r="E435" s="2"/>
      <c r="F435" s="2"/>
      <c r="G435" s="2"/>
      <c r="H435" s="2"/>
      <c r="I435" s="2"/>
      <c r="J435" s="4"/>
      <c r="K435" s="9"/>
      <c r="L435"/>
      <c r="M435"/>
      <c r="N435"/>
      <c r="O435"/>
    </row>
    <row r="436" spans="1:15" s="205" customFormat="1">
      <c r="A436"/>
      <c r="C436" s="6"/>
      <c r="D436" s="6"/>
      <c r="E436" s="2"/>
      <c r="F436" s="2"/>
      <c r="G436" s="2"/>
      <c r="H436" s="2"/>
      <c r="I436" s="2"/>
      <c r="J436" s="4"/>
      <c r="K436" s="9"/>
      <c r="L436"/>
      <c r="M436"/>
      <c r="N436"/>
      <c r="O436"/>
    </row>
    <row r="437" spans="1:15" s="205" customFormat="1">
      <c r="A437"/>
      <c r="C437" s="6"/>
      <c r="D437" s="6"/>
      <c r="E437" s="2"/>
      <c r="F437" s="2"/>
      <c r="G437" s="2"/>
      <c r="H437" s="2"/>
      <c r="I437" s="2"/>
      <c r="J437" s="4"/>
      <c r="K437" s="9"/>
      <c r="L437"/>
      <c r="M437"/>
      <c r="N437"/>
      <c r="O437"/>
    </row>
    <row r="438" spans="1:15" s="205" customFormat="1">
      <c r="A438"/>
      <c r="C438" s="6"/>
      <c r="D438" s="6"/>
      <c r="E438" s="2"/>
      <c r="F438" s="2"/>
      <c r="G438" s="2"/>
      <c r="H438" s="2"/>
      <c r="I438" s="2"/>
      <c r="J438" s="4"/>
      <c r="K438" s="9"/>
      <c r="L438"/>
      <c r="M438"/>
      <c r="N438"/>
      <c r="O438"/>
    </row>
    <row r="439" spans="1:15" s="205" customFormat="1">
      <c r="A439"/>
      <c r="C439" s="6"/>
      <c r="D439" s="6"/>
      <c r="E439" s="2"/>
      <c r="F439" s="2"/>
      <c r="G439" s="2"/>
      <c r="H439" s="2"/>
      <c r="I439" s="2"/>
      <c r="J439" s="4"/>
      <c r="K439" s="9"/>
      <c r="L439"/>
      <c r="M439"/>
      <c r="N439"/>
      <c r="O439"/>
    </row>
    <row r="440" spans="1:15" s="205" customFormat="1">
      <c r="A440"/>
      <c r="C440" s="6"/>
      <c r="D440" s="6"/>
      <c r="E440" s="2"/>
      <c r="F440" s="2"/>
      <c r="G440" s="2"/>
      <c r="H440" s="2"/>
      <c r="I440" s="2"/>
      <c r="J440" s="4"/>
      <c r="K440" s="9"/>
      <c r="L440"/>
      <c r="M440"/>
      <c r="N440"/>
      <c r="O440"/>
    </row>
    <row r="441" spans="1:15" s="205" customFormat="1">
      <c r="A441"/>
      <c r="C441" s="6"/>
      <c r="D441" s="6"/>
      <c r="E441" s="2"/>
      <c r="F441" s="2"/>
      <c r="G441" s="2"/>
      <c r="H441" s="2"/>
      <c r="I441" s="2"/>
      <c r="J441" s="4"/>
      <c r="K441" s="9"/>
      <c r="L441"/>
      <c r="M441"/>
      <c r="N441"/>
      <c r="O441"/>
    </row>
    <row r="442" spans="1:15" s="205" customFormat="1">
      <c r="A442"/>
      <c r="C442" s="6"/>
      <c r="D442" s="6"/>
      <c r="E442" s="2"/>
      <c r="F442" s="2"/>
      <c r="G442" s="2"/>
      <c r="H442" s="2"/>
      <c r="I442" s="2"/>
      <c r="J442" s="4"/>
      <c r="K442" s="9"/>
      <c r="L442"/>
      <c r="M442"/>
      <c r="N442"/>
      <c r="O442"/>
    </row>
    <row r="443" spans="1:15" s="205" customFormat="1">
      <c r="A443"/>
      <c r="C443" s="6"/>
      <c r="D443" s="6"/>
      <c r="E443" s="2"/>
      <c r="F443" s="2"/>
      <c r="G443" s="2"/>
      <c r="H443" s="2"/>
      <c r="I443" s="2"/>
      <c r="J443" s="4"/>
      <c r="K443" s="9"/>
      <c r="L443"/>
      <c r="M443"/>
      <c r="N443"/>
      <c r="O443"/>
    </row>
    <row r="444" spans="1:15" s="205" customFormat="1">
      <c r="A444"/>
      <c r="C444" s="6"/>
      <c r="D444" s="6"/>
      <c r="E444" s="2"/>
      <c r="F444" s="2"/>
      <c r="G444" s="2"/>
      <c r="H444" s="2"/>
      <c r="I444" s="2"/>
      <c r="J444" s="4"/>
      <c r="K444" s="9"/>
      <c r="L444"/>
      <c r="M444"/>
      <c r="N444"/>
      <c r="O444"/>
    </row>
    <row r="445" spans="1:15" s="205" customFormat="1">
      <c r="A445"/>
      <c r="C445" s="6"/>
      <c r="D445" s="6"/>
      <c r="E445" s="2"/>
      <c r="F445" s="2"/>
      <c r="G445" s="2"/>
      <c r="H445" s="2"/>
      <c r="I445" s="2"/>
      <c r="J445" s="4"/>
      <c r="K445" s="9"/>
      <c r="L445"/>
      <c r="M445"/>
      <c r="N445"/>
      <c r="O445"/>
    </row>
    <row r="446" spans="1:15" s="205" customFormat="1">
      <c r="A446"/>
      <c r="C446" s="6"/>
      <c r="D446" s="6"/>
      <c r="E446" s="2"/>
      <c r="F446" s="2"/>
      <c r="G446" s="2"/>
      <c r="H446" s="2"/>
      <c r="I446" s="2"/>
      <c r="J446" s="4"/>
      <c r="K446" s="9"/>
      <c r="L446"/>
      <c r="M446"/>
      <c r="N446"/>
      <c r="O446"/>
    </row>
    <row r="447" spans="1:15" s="205" customFormat="1">
      <c r="A447"/>
      <c r="C447" s="6"/>
      <c r="D447" s="6"/>
      <c r="E447" s="2"/>
      <c r="F447" s="2"/>
      <c r="G447" s="2"/>
      <c r="H447" s="2"/>
      <c r="I447" s="2"/>
      <c r="J447" s="4"/>
      <c r="K447" s="9"/>
      <c r="L447"/>
      <c r="M447"/>
      <c r="N447"/>
      <c r="O447"/>
    </row>
    <row r="448" spans="1:15" s="205" customFormat="1">
      <c r="A448"/>
      <c r="C448" s="6"/>
      <c r="D448" s="6"/>
      <c r="E448" s="2"/>
      <c r="F448" s="2"/>
      <c r="G448" s="2"/>
      <c r="H448" s="2"/>
      <c r="I448" s="2"/>
      <c r="J448" s="4"/>
      <c r="K448" s="9"/>
      <c r="L448"/>
      <c r="M448"/>
      <c r="N448"/>
      <c r="O448"/>
    </row>
    <row r="449" spans="1:15" s="205" customFormat="1">
      <c r="A449"/>
      <c r="C449" s="6"/>
      <c r="D449" s="6"/>
      <c r="E449" s="2"/>
      <c r="F449" s="2"/>
      <c r="G449" s="2"/>
      <c r="H449" s="2"/>
      <c r="I449" s="2"/>
      <c r="J449" s="4"/>
      <c r="K449" s="9"/>
      <c r="L449"/>
      <c r="M449"/>
      <c r="N449"/>
      <c r="O449"/>
    </row>
    <row r="450" spans="1:15" s="205" customFormat="1">
      <c r="A450"/>
      <c r="C450" s="6"/>
      <c r="D450" s="6"/>
      <c r="E450" s="2"/>
      <c r="F450" s="2"/>
      <c r="G450" s="2"/>
      <c r="H450" s="2"/>
      <c r="I450" s="2"/>
      <c r="J450" s="4"/>
      <c r="K450" s="9"/>
      <c r="L450"/>
      <c r="M450"/>
      <c r="N450"/>
      <c r="O450"/>
    </row>
    <row r="451" spans="1:15" s="205" customFormat="1">
      <c r="A451"/>
      <c r="C451" s="6"/>
      <c r="D451" s="6"/>
      <c r="E451" s="2"/>
      <c r="F451" s="2"/>
      <c r="G451" s="2"/>
      <c r="H451" s="2"/>
      <c r="I451" s="2"/>
      <c r="J451" s="4"/>
      <c r="K451" s="9"/>
      <c r="L451"/>
      <c r="M451"/>
      <c r="N451"/>
      <c r="O451"/>
    </row>
    <row r="452" spans="1:15" s="205" customFormat="1">
      <c r="A452"/>
      <c r="C452" s="6"/>
      <c r="D452" s="6"/>
      <c r="E452" s="2"/>
      <c r="F452" s="2"/>
      <c r="G452" s="2"/>
      <c r="H452" s="2"/>
      <c r="I452" s="2"/>
      <c r="J452" s="4"/>
      <c r="K452" s="9"/>
      <c r="L452"/>
      <c r="M452"/>
      <c r="N452"/>
      <c r="O452"/>
    </row>
    <row r="453" spans="1:15" s="205" customFormat="1">
      <c r="A453"/>
      <c r="C453" s="6"/>
      <c r="D453" s="6"/>
      <c r="E453" s="2"/>
      <c r="F453" s="2"/>
      <c r="G453" s="2"/>
      <c r="H453" s="2"/>
      <c r="I453" s="2"/>
      <c r="J453" s="4"/>
      <c r="K453" s="9"/>
      <c r="L453"/>
      <c r="M453"/>
      <c r="N453"/>
      <c r="O453"/>
    </row>
    <row r="454" spans="1:15" s="205" customFormat="1">
      <c r="A454"/>
      <c r="C454" s="6"/>
      <c r="D454" s="6"/>
      <c r="E454" s="2"/>
      <c r="F454" s="2"/>
      <c r="G454" s="2"/>
      <c r="H454" s="2"/>
      <c r="I454" s="2"/>
      <c r="J454" s="4"/>
      <c r="K454" s="9"/>
      <c r="L454"/>
      <c r="M454"/>
      <c r="N454"/>
      <c r="O454"/>
    </row>
    <row r="455" spans="1:15" s="205" customFormat="1">
      <c r="A455"/>
      <c r="C455" s="6"/>
      <c r="D455" s="6"/>
      <c r="E455" s="2"/>
      <c r="F455" s="2"/>
      <c r="G455" s="2"/>
      <c r="H455" s="2"/>
      <c r="I455" s="2"/>
      <c r="J455" s="4"/>
      <c r="K455" s="9"/>
      <c r="L455"/>
      <c r="M455"/>
      <c r="N455"/>
      <c r="O455"/>
    </row>
    <row r="456" spans="1:15" s="205" customFormat="1">
      <c r="A456"/>
      <c r="C456" s="6"/>
      <c r="D456" s="6"/>
      <c r="E456" s="2"/>
      <c r="F456" s="2"/>
      <c r="G456" s="2"/>
      <c r="H456" s="2"/>
      <c r="I456" s="2"/>
      <c r="J456" s="4"/>
      <c r="K456" s="9"/>
      <c r="L456"/>
      <c r="M456"/>
      <c r="N456"/>
      <c r="O456"/>
    </row>
    <row r="457" spans="1:15" s="205" customFormat="1">
      <c r="A457"/>
      <c r="C457" s="6"/>
      <c r="D457" s="6"/>
      <c r="E457" s="2"/>
      <c r="F457" s="2"/>
      <c r="G457" s="2"/>
      <c r="H457" s="2"/>
      <c r="I457" s="2"/>
      <c r="J457" s="4"/>
      <c r="K457" s="9"/>
      <c r="L457"/>
      <c r="M457"/>
      <c r="N457"/>
      <c r="O457"/>
    </row>
    <row r="458" spans="1:15" s="205" customFormat="1">
      <c r="A458"/>
      <c r="C458" s="6"/>
      <c r="D458" s="6"/>
      <c r="E458" s="2"/>
      <c r="F458" s="2"/>
      <c r="G458" s="2"/>
      <c r="H458" s="2"/>
      <c r="I458" s="2"/>
      <c r="J458" s="4"/>
      <c r="K458" s="9"/>
      <c r="L458"/>
      <c r="M458"/>
      <c r="N458"/>
      <c r="O458"/>
    </row>
    <row r="459" spans="1:15" s="205" customFormat="1">
      <c r="A459"/>
      <c r="C459" s="6"/>
      <c r="D459" s="6"/>
      <c r="E459" s="2"/>
      <c r="F459" s="2"/>
      <c r="G459" s="2"/>
      <c r="H459" s="2"/>
      <c r="I459" s="2"/>
      <c r="J459" s="4"/>
      <c r="K459" s="9"/>
      <c r="L459"/>
      <c r="M459"/>
      <c r="N459"/>
      <c r="O459"/>
    </row>
    <row r="460" spans="1:15" s="205" customFormat="1">
      <c r="A460"/>
      <c r="C460" s="6"/>
      <c r="D460" s="6"/>
      <c r="E460" s="2"/>
      <c r="F460" s="2"/>
      <c r="G460" s="2"/>
      <c r="H460" s="2"/>
      <c r="I460" s="2"/>
      <c r="J460" s="4"/>
      <c r="K460" s="9"/>
      <c r="L460"/>
      <c r="M460"/>
      <c r="N460"/>
      <c r="O460"/>
    </row>
    <row r="461" spans="1:15" s="205" customFormat="1">
      <c r="A461"/>
      <c r="C461" s="6"/>
      <c r="D461" s="6"/>
      <c r="E461" s="2"/>
      <c r="F461" s="2"/>
      <c r="G461" s="2"/>
      <c r="H461" s="2"/>
      <c r="I461" s="2"/>
      <c r="J461" s="4"/>
      <c r="K461" s="9"/>
      <c r="L461"/>
      <c r="M461"/>
      <c r="N461"/>
      <c r="O461"/>
    </row>
    <row r="462" spans="1:15" s="205" customFormat="1">
      <c r="A462"/>
      <c r="C462" s="6"/>
      <c r="D462" s="6"/>
      <c r="E462" s="2"/>
      <c r="F462" s="2"/>
      <c r="G462" s="2"/>
      <c r="H462" s="2"/>
      <c r="I462" s="2"/>
      <c r="J462" s="4"/>
      <c r="K462" s="9"/>
      <c r="L462"/>
      <c r="M462"/>
      <c r="N462"/>
      <c r="O462"/>
    </row>
    <row r="463" spans="1:15" s="205" customFormat="1">
      <c r="A463"/>
      <c r="C463" s="6"/>
      <c r="D463" s="6"/>
      <c r="E463" s="2"/>
      <c r="F463" s="2"/>
      <c r="G463" s="2"/>
      <c r="H463" s="2"/>
      <c r="I463" s="2"/>
      <c r="J463" s="4"/>
      <c r="K463" s="9"/>
      <c r="L463"/>
      <c r="M463"/>
      <c r="N463"/>
      <c r="O463"/>
    </row>
    <row r="464" spans="1:15" s="205" customFormat="1">
      <c r="A464"/>
      <c r="C464" s="6"/>
      <c r="D464" s="6"/>
      <c r="E464" s="2"/>
      <c r="F464" s="2"/>
      <c r="G464" s="2"/>
      <c r="H464" s="2"/>
      <c r="I464" s="2"/>
      <c r="J464" s="4"/>
      <c r="K464" s="9"/>
      <c r="L464"/>
      <c r="M464"/>
      <c r="N464"/>
      <c r="O464"/>
    </row>
    <row r="465" spans="1:15" s="205" customFormat="1">
      <c r="A465"/>
      <c r="C465" s="6"/>
      <c r="D465" s="6"/>
      <c r="E465" s="2"/>
      <c r="F465" s="2"/>
      <c r="G465" s="2"/>
      <c r="H465" s="2"/>
      <c r="I465" s="2"/>
      <c r="J465" s="4"/>
      <c r="K465" s="9"/>
      <c r="L465"/>
      <c r="M465"/>
      <c r="N465"/>
      <c r="O465"/>
    </row>
    <row r="466" spans="1:15" s="205" customFormat="1">
      <c r="A466"/>
      <c r="C466" s="6"/>
      <c r="D466" s="6"/>
      <c r="E466" s="2"/>
      <c r="F466" s="2"/>
      <c r="G466" s="2"/>
      <c r="H466" s="2"/>
      <c r="I466" s="2"/>
      <c r="J466" s="4"/>
      <c r="K466" s="9"/>
      <c r="L466"/>
      <c r="M466"/>
      <c r="N466"/>
      <c r="O466"/>
    </row>
    <row r="467" spans="1:15" s="205" customFormat="1">
      <c r="A467"/>
      <c r="C467" s="6"/>
      <c r="D467" s="6"/>
      <c r="E467" s="2"/>
      <c r="F467" s="2"/>
      <c r="G467" s="2"/>
      <c r="H467" s="2"/>
      <c r="I467" s="2"/>
      <c r="J467" s="4"/>
      <c r="K467" s="9"/>
      <c r="L467"/>
      <c r="M467"/>
      <c r="N467"/>
      <c r="O467"/>
    </row>
    <row r="468" spans="1:15" s="205" customFormat="1">
      <c r="A468"/>
      <c r="C468" s="6"/>
      <c r="D468" s="6"/>
      <c r="E468" s="2"/>
      <c r="F468" s="2"/>
      <c r="G468" s="2"/>
      <c r="H468" s="2"/>
      <c r="I468" s="2"/>
      <c r="J468" s="4"/>
      <c r="K468" s="9"/>
      <c r="L468"/>
      <c r="M468"/>
      <c r="N468"/>
      <c r="O468"/>
    </row>
    <row r="469" spans="1:15" s="205" customFormat="1">
      <c r="A469"/>
      <c r="C469" s="6"/>
      <c r="D469" s="6"/>
      <c r="E469" s="2"/>
      <c r="F469" s="2"/>
      <c r="G469" s="2"/>
      <c r="H469" s="2"/>
      <c r="I469" s="2"/>
      <c r="J469" s="4"/>
      <c r="K469" s="9"/>
      <c r="L469"/>
      <c r="M469"/>
      <c r="N469"/>
      <c r="O469"/>
    </row>
    <row r="470" spans="1:15" s="205" customFormat="1">
      <c r="A470"/>
      <c r="C470" s="6"/>
      <c r="D470" s="6"/>
      <c r="E470" s="2"/>
      <c r="F470" s="2"/>
      <c r="G470" s="2"/>
      <c r="H470" s="2"/>
      <c r="I470" s="2"/>
      <c r="J470" s="4"/>
      <c r="K470" s="9"/>
      <c r="L470"/>
      <c r="M470"/>
      <c r="N470"/>
      <c r="O470"/>
    </row>
    <row r="471" spans="1:15" s="205" customFormat="1">
      <c r="A471"/>
      <c r="C471" s="6"/>
      <c r="D471" s="6"/>
      <c r="E471" s="2"/>
      <c r="F471" s="2"/>
      <c r="G471" s="2"/>
      <c r="H471" s="2"/>
      <c r="I471" s="2"/>
      <c r="J471" s="4"/>
      <c r="K471" s="9"/>
      <c r="L471"/>
      <c r="M471"/>
      <c r="N471"/>
      <c r="O471"/>
    </row>
    <row r="472" spans="1:15" s="205" customFormat="1">
      <c r="A472"/>
      <c r="C472" s="6"/>
      <c r="D472" s="6"/>
      <c r="E472" s="2"/>
      <c r="F472" s="2"/>
      <c r="G472" s="2"/>
      <c r="H472" s="2"/>
      <c r="I472" s="2"/>
      <c r="J472" s="4"/>
      <c r="K472" s="9"/>
      <c r="L472"/>
      <c r="M472"/>
      <c r="N472"/>
      <c r="O472"/>
    </row>
    <row r="473" spans="1:15" s="205" customFormat="1">
      <c r="A473"/>
      <c r="C473" s="6"/>
      <c r="D473" s="6"/>
      <c r="E473" s="2"/>
      <c r="F473" s="2"/>
      <c r="G473" s="2"/>
      <c r="H473" s="2"/>
      <c r="I473" s="2"/>
      <c r="J473" s="4"/>
      <c r="K473" s="9"/>
      <c r="L473"/>
      <c r="M473"/>
      <c r="N473"/>
      <c r="O473"/>
    </row>
    <row r="474" spans="1:15" s="205" customFormat="1">
      <c r="A474"/>
      <c r="C474" s="6"/>
      <c r="D474" s="6"/>
      <c r="E474" s="2"/>
      <c r="F474" s="2"/>
      <c r="G474" s="2"/>
      <c r="H474" s="2"/>
      <c r="I474" s="2"/>
      <c r="J474" s="4"/>
      <c r="K474" s="9"/>
      <c r="L474"/>
      <c r="M474"/>
      <c r="N474"/>
      <c r="O474"/>
    </row>
    <row r="475" spans="1:15" s="205" customFormat="1">
      <c r="A475"/>
      <c r="C475" s="6"/>
      <c r="D475" s="6"/>
      <c r="E475" s="2"/>
      <c r="F475" s="2"/>
      <c r="G475" s="2"/>
      <c r="H475" s="2"/>
      <c r="I475" s="2"/>
      <c r="J475" s="4"/>
      <c r="K475" s="9"/>
      <c r="L475"/>
      <c r="M475"/>
      <c r="N475"/>
      <c r="O475"/>
    </row>
    <row r="476" spans="1:15" s="205" customFormat="1">
      <c r="A476"/>
      <c r="C476" s="6"/>
      <c r="D476" s="6"/>
      <c r="E476" s="2"/>
      <c r="F476" s="2"/>
      <c r="G476" s="2"/>
      <c r="H476" s="2"/>
      <c r="I476" s="2"/>
      <c r="J476" s="4"/>
      <c r="K476" s="9"/>
      <c r="L476"/>
      <c r="M476"/>
      <c r="N476"/>
      <c r="O476"/>
    </row>
    <row r="477" spans="1:15" s="205" customFormat="1">
      <c r="A477"/>
      <c r="C477" s="6"/>
      <c r="D477" s="6"/>
      <c r="E477" s="2"/>
      <c r="F477" s="2"/>
      <c r="G477" s="2"/>
      <c r="H477" s="2"/>
      <c r="I477" s="2"/>
      <c r="J477" s="4"/>
      <c r="K477" s="9"/>
      <c r="L477"/>
      <c r="M477"/>
      <c r="N477"/>
      <c r="O477"/>
    </row>
    <row r="478" spans="1:15" s="205" customFormat="1">
      <c r="A478"/>
      <c r="C478" s="6"/>
      <c r="D478" s="6"/>
      <c r="E478" s="2"/>
      <c r="F478" s="2"/>
      <c r="G478" s="2"/>
      <c r="H478" s="2"/>
      <c r="I478" s="2"/>
      <c r="J478" s="4"/>
      <c r="K478" s="9"/>
      <c r="L478"/>
      <c r="M478"/>
      <c r="N478"/>
      <c r="O478"/>
    </row>
    <row r="479" spans="1:15" s="205" customFormat="1">
      <c r="A479"/>
      <c r="C479" s="6"/>
      <c r="D479" s="6"/>
      <c r="E479" s="2"/>
      <c r="F479" s="2"/>
      <c r="G479" s="2"/>
      <c r="H479" s="2"/>
      <c r="I479" s="2"/>
      <c r="J479" s="4"/>
      <c r="K479" s="9"/>
      <c r="L479"/>
      <c r="M479"/>
      <c r="N479"/>
      <c r="O479"/>
    </row>
    <row r="480" spans="1:15" s="205" customFormat="1">
      <c r="A480"/>
      <c r="C480" s="6"/>
      <c r="D480" s="6"/>
      <c r="E480" s="2"/>
      <c r="F480" s="2"/>
      <c r="G480" s="2"/>
      <c r="H480" s="2"/>
      <c r="I480" s="2"/>
      <c r="J480" s="4"/>
      <c r="K480" s="9"/>
      <c r="L480"/>
      <c r="M480"/>
      <c r="N480"/>
      <c r="O480"/>
    </row>
    <row r="481" spans="1:15" s="205" customFormat="1">
      <c r="A481"/>
      <c r="C481" s="6"/>
      <c r="D481" s="6"/>
      <c r="E481" s="2"/>
      <c r="F481" s="2"/>
      <c r="G481" s="2"/>
      <c r="H481" s="2"/>
      <c r="I481" s="2"/>
      <c r="J481" s="4"/>
      <c r="K481" s="9"/>
      <c r="L481"/>
      <c r="M481"/>
      <c r="N481"/>
      <c r="O481"/>
    </row>
    <row r="482" spans="1:15" s="205" customFormat="1">
      <c r="A482"/>
      <c r="C482" s="6"/>
      <c r="D482" s="6"/>
      <c r="E482" s="2"/>
      <c r="F482" s="2"/>
      <c r="G482" s="2"/>
      <c r="H482" s="2"/>
      <c r="I482" s="2"/>
      <c r="J482" s="4"/>
      <c r="K482" s="9"/>
      <c r="L482"/>
      <c r="M482"/>
      <c r="N482"/>
      <c r="O482"/>
    </row>
    <row r="483" spans="1:15" s="205" customFormat="1">
      <c r="A483"/>
      <c r="C483" s="6"/>
      <c r="D483" s="6"/>
      <c r="E483" s="2"/>
      <c r="F483" s="2"/>
      <c r="G483" s="2"/>
      <c r="H483" s="2"/>
      <c r="I483" s="2"/>
      <c r="J483" s="4"/>
      <c r="K483" s="9"/>
      <c r="L483"/>
      <c r="M483"/>
      <c r="N483"/>
      <c r="O483"/>
    </row>
    <row r="484" spans="1:15" s="205" customFormat="1">
      <c r="A484"/>
      <c r="C484" s="6"/>
      <c r="D484" s="6"/>
      <c r="E484" s="2"/>
      <c r="F484" s="2"/>
      <c r="G484" s="2"/>
      <c r="H484" s="2"/>
      <c r="I484" s="2"/>
      <c r="J484" s="4"/>
      <c r="K484" s="9"/>
      <c r="L484"/>
      <c r="M484"/>
      <c r="N484"/>
      <c r="O484"/>
    </row>
    <row r="485" spans="1:15" s="205" customFormat="1">
      <c r="A485"/>
      <c r="C485" s="6"/>
      <c r="D485" s="6"/>
      <c r="E485" s="2"/>
      <c r="F485" s="2"/>
      <c r="G485" s="2"/>
      <c r="H485" s="2"/>
      <c r="I485" s="2"/>
      <c r="J485" s="4"/>
      <c r="K485" s="9"/>
      <c r="L485"/>
      <c r="M485"/>
      <c r="N485"/>
      <c r="O485"/>
    </row>
    <row r="486" spans="1:15" s="205" customFormat="1">
      <c r="A486"/>
      <c r="C486" s="6"/>
      <c r="D486" s="6"/>
      <c r="E486" s="2"/>
      <c r="F486" s="2"/>
      <c r="G486" s="2"/>
      <c r="H486" s="2"/>
      <c r="I486" s="2"/>
      <c r="J486" s="4"/>
      <c r="K486" s="9"/>
      <c r="L486"/>
      <c r="M486"/>
      <c r="N486"/>
      <c r="O486"/>
    </row>
    <row r="487" spans="1:15" s="205" customFormat="1">
      <c r="A487"/>
      <c r="C487" s="6"/>
      <c r="D487" s="6"/>
      <c r="E487" s="2"/>
      <c r="F487" s="2"/>
      <c r="G487" s="2"/>
      <c r="H487" s="2"/>
      <c r="I487" s="2"/>
      <c r="J487" s="4"/>
      <c r="K487" s="9"/>
      <c r="L487"/>
      <c r="M487"/>
      <c r="N487"/>
      <c r="O487"/>
    </row>
    <row r="488" spans="1:15" s="205" customFormat="1">
      <c r="A488"/>
      <c r="C488" s="6"/>
      <c r="D488" s="6"/>
      <c r="E488" s="2"/>
      <c r="F488" s="2"/>
      <c r="G488" s="2"/>
      <c r="H488" s="2"/>
      <c r="I488" s="2"/>
      <c r="J488" s="4"/>
      <c r="K488" s="9"/>
      <c r="L488"/>
      <c r="M488"/>
      <c r="N488"/>
      <c r="O488"/>
    </row>
    <row r="489" spans="1:15" s="205" customFormat="1">
      <c r="A489"/>
      <c r="C489" s="6"/>
      <c r="D489" s="6"/>
      <c r="E489" s="2"/>
      <c r="F489" s="2"/>
      <c r="G489" s="2"/>
      <c r="H489" s="2"/>
      <c r="I489" s="2"/>
      <c r="J489" s="4"/>
      <c r="K489" s="9"/>
      <c r="L489"/>
      <c r="M489"/>
      <c r="N489"/>
      <c r="O489"/>
    </row>
    <row r="490" spans="1:15" s="205" customFormat="1">
      <c r="A490"/>
      <c r="C490" s="6"/>
      <c r="D490" s="6"/>
      <c r="E490" s="2"/>
      <c r="F490" s="2"/>
      <c r="G490" s="2"/>
      <c r="H490" s="2"/>
      <c r="I490" s="2"/>
      <c r="J490" s="4"/>
      <c r="K490" s="9"/>
      <c r="L490"/>
      <c r="M490"/>
      <c r="N490"/>
      <c r="O490"/>
    </row>
    <row r="491" spans="1:15" s="205" customFormat="1">
      <c r="A491"/>
      <c r="C491" s="6"/>
      <c r="D491" s="6"/>
      <c r="E491" s="2"/>
      <c r="F491" s="2"/>
      <c r="G491" s="2"/>
      <c r="H491" s="2"/>
      <c r="I491" s="2"/>
      <c r="J491" s="4"/>
      <c r="K491" s="9"/>
      <c r="L491"/>
      <c r="M491"/>
      <c r="N491"/>
      <c r="O491"/>
    </row>
    <row r="492" spans="1:15" s="205" customFormat="1">
      <c r="A492"/>
      <c r="C492" s="6"/>
      <c r="D492" s="6"/>
      <c r="E492" s="2"/>
      <c r="F492" s="2"/>
      <c r="G492" s="2"/>
      <c r="H492" s="2"/>
      <c r="I492" s="2"/>
      <c r="J492" s="4"/>
      <c r="K492" s="9"/>
      <c r="L492"/>
      <c r="M492"/>
      <c r="N492"/>
      <c r="O492"/>
    </row>
    <row r="493" spans="1:15" s="205" customFormat="1">
      <c r="A493"/>
      <c r="C493" s="6"/>
      <c r="D493" s="6"/>
      <c r="E493" s="2"/>
      <c r="F493" s="2"/>
      <c r="G493" s="2"/>
      <c r="H493" s="2"/>
      <c r="I493" s="2"/>
      <c r="J493" s="4"/>
      <c r="K493" s="9"/>
      <c r="L493"/>
      <c r="M493"/>
      <c r="N493"/>
      <c r="O493"/>
    </row>
    <row r="494" spans="1:15" s="205" customFormat="1">
      <c r="A494"/>
      <c r="C494" s="6"/>
      <c r="D494" s="6"/>
      <c r="E494" s="2"/>
      <c r="F494" s="2"/>
      <c r="G494" s="2"/>
      <c r="H494" s="2"/>
      <c r="I494" s="2"/>
      <c r="J494" s="4"/>
      <c r="K494" s="9"/>
      <c r="L494"/>
      <c r="M494"/>
      <c r="N494"/>
      <c r="O494"/>
    </row>
    <row r="495" spans="1:15" s="205" customFormat="1">
      <c r="A495"/>
      <c r="C495" s="6"/>
      <c r="D495" s="6"/>
      <c r="E495" s="2"/>
      <c r="F495" s="2"/>
      <c r="G495" s="2"/>
      <c r="H495" s="2"/>
      <c r="I495" s="2"/>
      <c r="J495" s="4"/>
      <c r="K495" s="9"/>
      <c r="L495"/>
      <c r="M495"/>
      <c r="N495"/>
      <c r="O495"/>
    </row>
    <row r="496" spans="1:15" s="205" customFormat="1">
      <c r="A496"/>
      <c r="C496" s="6"/>
      <c r="D496" s="6"/>
      <c r="E496" s="2"/>
      <c r="F496" s="2"/>
      <c r="G496" s="2"/>
      <c r="H496" s="2"/>
      <c r="I496" s="2"/>
      <c r="J496" s="4"/>
      <c r="K496" s="9"/>
      <c r="L496"/>
      <c r="M496"/>
      <c r="N496"/>
      <c r="O496"/>
    </row>
    <row r="497" spans="1:15" s="205" customFormat="1">
      <c r="A497"/>
      <c r="C497" s="6"/>
      <c r="D497" s="6"/>
      <c r="E497" s="2"/>
      <c r="F497" s="2"/>
      <c r="G497" s="2"/>
      <c r="H497" s="2"/>
      <c r="I497" s="2"/>
      <c r="J497" s="4"/>
      <c r="K497" s="9"/>
      <c r="L497"/>
      <c r="M497"/>
      <c r="N497"/>
      <c r="O497"/>
    </row>
    <row r="498" spans="1:15" s="205" customFormat="1">
      <c r="A498"/>
      <c r="C498" s="6"/>
      <c r="D498" s="6"/>
      <c r="E498" s="2"/>
      <c r="F498" s="2"/>
      <c r="G498" s="2"/>
      <c r="H498" s="2"/>
      <c r="I498" s="2"/>
      <c r="J498" s="4"/>
      <c r="K498" s="9"/>
      <c r="L498"/>
      <c r="M498"/>
      <c r="N498"/>
      <c r="O498"/>
    </row>
    <row r="499" spans="1:15" s="205" customFormat="1">
      <c r="A499"/>
      <c r="C499" s="6"/>
      <c r="D499" s="6"/>
      <c r="E499" s="2"/>
      <c r="F499" s="2"/>
      <c r="G499" s="2"/>
      <c r="H499" s="2"/>
      <c r="I499" s="2"/>
      <c r="J499" s="4"/>
      <c r="K499" s="9"/>
      <c r="L499"/>
      <c r="M499"/>
      <c r="N499"/>
      <c r="O499"/>
    </row>
    <row r="500" spans="1:15" s="205" customFormat="1">
      <c r="A500"/>
      <c r="C500" s="6"/>
      <c r="D500" s="6"/>
      <c r="E500" s="2"/>
      <c r="F500" s="2"/>
      <c r="G500" s="2"/>
      <c r="H500" s="2"/>
      <c r="I500" s="2"/>
      <c r="J500" s="4"/>
      <c r="K500" s="9"/>
      <c r="L500"/>
      <c r="M500"/>
      <c r="N500"/>
      <c r="O500"/>
    </row>
    <row r="501" spans="1:15" s="205" customFormat="1">
      <c r="A501"/>
      <c r="C501" s="6"/>
      <c r="D501" s="6"/>
      <c r="E501" s="2"/>
      <c r="F501" s="2"/>
      <c r="G501" s="2"/>
      <c r="H501" s="2"/>
      <c r="I501" s="2"/>
      <c r="J501" s="4"/>
      <c r="K501" s="9"/>
      <c r="L501"/>
      <c r="M501"/>
      <c r="N501"/>
      <c r="O501"/>
    </row>
    <row r="502" spans="1:15" s="205" customFormat="1">
      <c r="A502"/>
      <c r="C502" s="6"/>
      <c r="D502" s="6"/>
      <c r="E502" s="2"/>
      <c r="F502" s="2"/>
      <c r="G502" s="2"/>
      <c r="H502" s="2"/>
      <c r="I502" s="2"/>
      <c r="J502" s="4"/>
      <c r="K502" s="9"/>
      <c r="L502"/>
      <c r="M502"/>
      <c r="N502"/>
      <c r="O502"/>
    </row>
    <row r="503" spans="1:15" s="205" customFormat="1">
      <c r="A503"/>
      <c r="C503" s="6"/>
      <c r="D503" s="6"/>
      <c r="E503" s="2"/>
      <c r="F503" s="2"/>
      <c r="G503" s="2"/>
      <c r="H503" s="2"/>
      <c r="I503" s="2"/>
      <c r="J503" s="4"/>
      <c r="K503" s="9"/>
      <c r="L503"/>
      <c r="M503"/>
      <c r="N503"/>
      <c r="O503"/>
    </row>
    <row r="504" spans="1:15" s="205" customFormat="1">
      <c r="A504"/>
      <c r="C504" s="6"/>
      <c r="D504" s="6"/>
      <c r="E504" s="2"/>
      <c r="F504" s="2"/>
      <c r="G504" s="2"/>
      <c r="H504" s="2"/>
      <c r="I504" s="2"/>
      <c r="J504" s="4"/>
      <c r="K504" s="9"/>
      <c r="L504"/>
      <c r="M504"/>
      <c r="N504"/>
      <c r="O504"/>
    </row>
    <row r="505" spans="1:15" s="205" customFormat="1">
      <c r="A505"/>
      <c r="C505" s="6"/>
      <c r="D505" s="6"/>
      <c r="E505" s="2"/>
      <c r="F505" s="2"/>
      <c r="G505" s="2"/>
      <c r="H505" s="2"/>
      <c r="I505" s="2"/>
      <c r="J505" s="4"/>
      <c r="K505" s="9"/>
      <c r="L505"/>
      <c r="M505"/>
      <c r="N505"/>
      <c r="O505"/>
    </row>
    <row r="506" spans="1:15" s="205" customFormat="1">
      <c r="A506"/>
      <c r="C506" s="6"/>
      <c r="D506" s="6"/>
      <c r="E506" s="2"/>
      <c r="F506" s="2"/>
      <c r="G506" s="2"/>
      <c r="H506" s="2"/>
      <c r="I506" s="2"/>
      <c r="J506" s="4"/>
      <c r="K506" s="9"/>
      <c r="L506"/>
      <c r="M506"/>
      <c r="N506"/>
      <c r="O506"/>
    </row>
    <row r="507" spans="1:15" s="205" customFormat="1">
      <c r="A507"/>
      <c r="C507" s="6"/>
      <c r="D507" s="6"/>
      <c r="E507" s="2"/>
      <c r="F507" s="2"/>
      <c r="G507" s="2"/>
      <c r="H507" s="2"/>
      <c r="I507" s="2"/>
      <c r="J507" s="4"/>
      <c r="K507" s="9"/>
      <c r="L507"/>
      <c r="M507"/>
      <c r="N507"/>
      <c r="O507"/>
    </row>
    <row r="508" spans="1:15" s="205" customFormat="1">
      <c r="A508"/>
      <c r="C508" s="6"/>
      <c r="D508" s="6"/>
      <c r="E508" s="2"/>
      <c r="F508" s="2"/>
      <c r="G508" s="2"/>
      <c r="H508" s="2"/>
      <c r="I508" s="2"/>
      <c r="J508" s="4"/>
      <c r="K508" s="9"/>
      <c r="L508"/>
      <c r="M508"/>
      <c r="N508"/>
      <c r="O508"/>
    </row>
    <row r="509" spans="1:15" s="205" customFormat="1">
      <c r="A509"/>
      <c r="C509" s="6"/>
      <c r="D509" s="6"/>
      <c r="E509" s="2"/>
      <c r="F509" s="2"/>
      <c r="G509" s="2"/>
      <c r="H509" s="2"/>
      <c r="I509" s="2"/>
      <c r="J509" s="4"/>
      <c r="K509" s="9"/>
      <c r="L509"/>
      <c r="M509"/>
      <c r="N509"/>
      <c r="O509"/>
    </row>
    <row r="510" spans="1:15" s="205" customFormat="1">
      <c r="A510"/>
      <c r="C510" s="6"/>
      <c r="D510" s="6"/>
      <c r="E510" s="2"/>
      <c r="F510" s="2"/>
      <c r="G510" s="2"/>
      <c r="H510" s="2"/>
      <c r="I510" s="2"/>
      <c r="J510" s="4"/>
      <c r="K510" s="9"/>
      <c r="L510"/>
      <c r="M510"/>
      <c r="N510"/>
      <c r="O510"/>
    </row>
    <row r="511" spans="1:15" s="205" customFormat="1">
      <c r="A511"/>
      <c r="C511" s="6"/>
      <c r="D511" s="6"/>
      <c r="E511" s="2"/>
      <c r="F511" s="2"/>
      <c r="G511" s="2"/>
      <c r="H511" s="2"/>
      <c r="I511" s="2"/>
      <c r="J511" s="4"/>
      <c r="K511" s="9"/>
      <c r="L511"/>
      <c r="M511"/>
      <c r="N511"/>
      <c r="O511"/>
    </row>
    <row r="512" spans="1:15" s="205" customFormat="1">
      <c r="A512"/>
      <c r="C512" s="6"/>
      <c r="D512" s="6"/>
      <c r="E512" s="2"/>
      <c r="F512" s="2"/>
      <c r="G512" s="2"/>
      <c r="H512" s="2"/>
      <c r="I512" s="2"/>
      <c r="J512" s="4"/>
      <c r="K512" s="9"/>
      <c r="L512"/>
      <c r="M512"/>
      <c r="N512"/>
      <c r="O512"/>
    </row>
    <row r="513" spans="1:15" s="205" customFormat="1">
      <c r="A513"/>
      <c r="C513" s="6"/>
      <c r="D513" s="6"/>
      <c r="E513" s="2"/>
      <c r="F513" s="2"/>
      <c r="G513" s="2"/>
      <c r="H513" s="2"/>
      <c r="I513" s="2"/>
      <c r="J513" s="4"/>
      <c r="K513" s="9"/>
      <c r="L513"/>
      <c r="M513"/>
      <c r="N513"/>
      <c r="O513"/>
    </row>
    <row r="514" spans="1:15" s="205" customFormat="1">
      <c r="A514"/>
      <c r="C514" s="6"/>
      <c r="D514" s="6"/>
      <c r="E514" s="2"/>
      <c r="F514" s="2"/>
      <c r="G514" s="2"/>
      <c r="H514" s="2"/>
      <c r="I514" s="2"/>
      <c r="J514" s="4"/>
      <c r="K514" s="9"/>
      <c r="L514"/>
      <c r="M514"/>
      <c r="N514"/>
      <c r="O514"/>
    </row>
    <row r="515" spans="1:15" s="205" customFormat="1">
      <c r="A515"/>
      <c r="C515" s="6"/>
      <c r="D515" s="6"/>
      <c r="E515" s="2"/>
      <c r="F515" s="2"/>
      <c r="G515" s="2"/>
      <c r="H515" s="2"/>
      <c r="I515" s="2"/>
      <c r="J515" s="4"/>
      <c r="K515" s="9"/>
      <c r="L515"/>
      <c r="M515"/>
      <c r="N515"/>
      <c r="O515"/>
    </row>
    <row r="516" spans="1:15" s="205" customFormat="1">
      <c r="A516"/>
      <c r="C516" s="6"/>
      <c r="D516" s="6"/>
      <c r="E516" s="2"/>
      <c r="F516" s="2"/>
      <c r="G516" s="2"/>
      <c r="H516" s="2"/>
      <c r="I516" s="2"/>
      <c r="J516" s="4"/>
      <c r="K516" s="9"/>
      <c r="L516"/>
      <c r="M516"/>
      <c r="N516"/>
      <c r="O516"/>
    </row>
    <row r="517" spans="1:15" s="205" customFormat="1">
      <c r="A517"/>
      <c r="C517" s="6"/>
      <c r="D517" s="6"/>
      <c r="E517" s="2"/>
      <c r="F517" s="2"/>
      <c r="G517" s="2"/>
      <c r="H517" s="2"/>
      <c r="I517" s="2"/>
      <c r="J517" s="4"/>
      <c r="K517" s="9"/>
      <c r="L517"/>
      <c r="M517"/>
      <c r="N517"/>
      <c r="O517"/>
    </row>
    <row r="518" spans="1:15" s="205" customFormat="1">
      <c r="A518"/>
      <c r="C518" s="6"/>
      <c r="D518" s="6"/>
      <c r="E518" s="2"/>
      <c r="F518" s="2"/>
      <c r="G518" s="2"/>
      <c r="H518" s="2"/>
      <c r="I518" s="2"/>
      <c r="J518" s="4"/>
      <c r="K518" s="9"/>
      <c r="L518"/>
      <c r="M518"/>
      <c r="N518"/>
      <c r="O518"/>
    </row>
    <row r="519" spans="1:15" s="205" customFormat="1">
      <c r="A519"/>
      <c r="C519" s="6"/>
      <c r="D519" s="6"/>
      <c r="E519" s="2"/>
      <c r="F519" s="2"/>
      <c r="G519" s="2"/>
      <c r="H519" s="2"/>
      <c r="I519" s="2"/>
      <c r="J519" s="4"/>
      <c r="K519" s="9"/>
      <c r="L519"/>
      <c r="M519"/>
      <c r="N519"/>
      <c r="O519"/>
    </row>
    <row r="520" spans="1:15" s="205" customFormat="1">
      <c r="A520"/>
      <c r="C520" s="6"/>
      <c r="D520" s="6"/>
      <c r="E520" s="2"/>
      <c r="F520" s="2"/>
      <c r="G520" s="2"/>
      <c r="H520" s="2"/>
      <c r="I520" s="2"/>
      <c r="J520" s="4"/>
      <c r="K520" s="9"/>
      <c r="L520"/>
      <c r="M520"/>
      <c r="N520"/>
      <c r="O520"/>
    </row>
    <row r="521" spans="1:15" s="205" customFormat="1">
      <c r="A521"/>
      <c r="C521" s="6"/>
      <c r="D521" s="6"/>
      <c r="E521" s="2"/>
      <c r="F521" s="2"/>
      <c r="G521" s="2"/>
      <c r="H521" s="2"/>
      <c r="I521" s="2"/>
      <c r="J521" s="4"/>
      <c r="K521" s="9"/>
      <c r="L521"/>
      <c r="M521"/>
      <c r="N521"/>
      <c r="O521"/>
    </row>
    <row r="522" spans="1:15" s="205" customFormat="1">
      <c r="A522"/>
      <c r="C522" s="6"/>
      <c r="D522" s="6"/>
      <c r="E522" s="2"/>
      <c r="F522" s="2"/>
      <c r="G522" s="2"/>
      <c r="H522" s="2"/>
      <c r="I522" s="2"/>
      <c r="J522" s="4"/>
      <c r="K522" s="9"/>
      <c r="L522"/>
      <c r="M522"/>
      <c r="N522"/>
      <c r="O522"/>
    </row>
    <row r="523" spans="1:15" s="205" customFormat="1">
      <c r="A523"/>
      <c r="C523" s="6"/>
      <c r="D523" s="6"/>
      <c r="E523" s="2"/>
      <c r="F523" s="2"/>
      <c r="G523" s="2"/>
      <c r="H523" s="2"/>
      <c r="I523" s="2"/>
      <c r="J523" s="4"/>
      <c r="K523" s="9"/>
      <c r="L523"/>
      <c r="M523"/>
      <c r="N523"/>
      <c r="O523"/>
    </row>
    <row r="524" spans="1:15" s="205" customFormat="1">
      <c r="A524"/>
      <c r="C524" s="6"/>
      <c r="D524" s="6"/>
      <c r="E524" s="2"/>
      <c r="F524" s="2"/>
      <c r="G524" s="2"/>
      <c r="H524" s="2"/>
      <c r="I524" s="2"/>
      <c r="J524" s="4"/>
      <c r="K524" s="9"/>
      <c r="L524"/>
      <c r="M524"/>
      <c r="N524"/>
      <c r="O524"/>
    </row>
    <row r="525" spans="1:15" s="205" customFormat="1">
      <c r="A525"/>
      <c r="C525" s="6"/>
      <c r="D525" s="6"/>
      <c r="E525" s="2"/>
      <c r="F525" s="2"/>
      <c r="G525" s="2"/>
      <c r="H525" s="2"/>
      <c r="I525" s="2"/>
      <c r="J525" s="4"/>
      <c r="K525" s="9"/>
      <c r="L525"/>
      <c r="M525"/>
      <c r="N525"/>
      <c r="O525"/>
    </row>
    <row r="526" spans="1:15" s="205" customFormat="1">
      <c r="A526"/>
      <c r="C526" s="6"/>
      <c r="D526" s="6"/>
      <c r="E526" s="2"/>
      <c r="F526" s="2"/>
      <c r="G526" s="2"/>
      <c r="H526" s="2"/>
      <c r="I526" s="2"/>
      <c r="J526" s="4"/>
      <c r="K526" s="9"/>
      <c r="L526"/>
      <c r="M526"/>
      <c r="N526"/>
      <c r="O526"/>
    </row>
    <row r="527" spans="1:15" s="205" customFormat="1">
      <c r="A527"/>
      <c r="C527" s="6"/>
      <c r="D527" s="6"/>
      <c r="E527" s="2"/>
      <c r="F527" s="2"/>
      <c r="G527" s="2"/>
      <c r="H527" s="2"/>
      <c r="I527" s="2"/>
      <c r="J527" s="4"/>
      <c r="K527" s="9"/>
      <c r="L527"/>
      <c r="M527"/>
      <c r="N527"/>
      <c r="O527"/>
    </row>
    <row r="528" spans="1:15" s="205" customFormat="1">
      <c r="A528"/>
      <c r="C528" s="6"/>
      <c r="D528" s="6"/>
      <c r="E528" s="2"/>
      <c r="F528" s="2"/>
      <c r="G528" s="2"/>
      <c r="H528" s="2"/>
      <c r="I528" s="2"/>
      <c r="J528" s="4"/>
      <c r="K528" s="9"/>
      <c r="L528"/>
      <c r="M528"/>
      <c r="N528"/>
      <c r="O528"/>
    </row>
    <row r="529" spans="1:15" s="205" customFormat="1">
      <c r="A529"/>
      <c r="C529" s="6"/>
      <c r="D529" s="6"/>
      <c r="E529" s="2"/>
      <c r="F529" s="2"/>
      <c r="G529" s="2"/>
      <c r="H529" s="2"/>
      <c r="I529" s="2"/>
      <c r="J529" s="4"/>
      <c r="K529" s="9"/>
      <c r="L529"/>
      <c r="M529"/>
      <c r="N529"/>
      <c r="O529"/>
    </row>
    <row r="530" spans="1:15" s="205" customFormat="1">
      <c r="A530"/>
      <c r="C530" s="6"/>
      <c r="D530" s="6"/>
      <c r="E530" s="2"/>
      <c r="F530" s="2"/>
      <c r="G530" s="2"/>
      <c r="H530" s="2"/>
      <c r="I530" s="2"/>
      <c r="J530" s="4"/>
      <c r="K530" s="9"/>
      <c r="L530"/>
      <c r="M530"/>
      <c r="N530"/>
      <c r="O530"/>
    </row>
    <row r="531" spans="1:15" s="205" customFormat="1">
      <c r="A531"/>
      <c r="C531" s="6"/>
      <c r="D531" s="6"/>
      <c r="E531" s="2"/>
      <c r="F531" s="2"/>
      <c r="G531" s="2"/>
      <c r="H531" s="2"/>
      <c r="I531" s="2"/>
      <c r="J531" s="4"/>
      <c r="K531" s="9"/>
      <c r="L531"/>
      <c r="M531"/>
      <c r="N531"/>
      <c r="O531"/>
    </row>
    <row r="532" spans="1:15" s="205" customFormat="1">
      <c r="A532"/>
      <c r="C532" s="6"/>
      <c r="D532" s="6"/>
      <c r="E532" s="2"/>
      <c r="F532" s="2"/>
      <c r="G532" s="2"/>
      <c r="H532" s="2"/>
      <c r="I532" s="2"/>
      <c r="J532" s="4"/>
      <c r="K532" s="9"/>
      <c r="L532"/>
      <c r="M532"/>
      <c r="N532"/>
      <c r="O532"/>
    </row>
    <row r="533" spans="1:15" s="205" customFormat="1">
      <c r="A533"/>
      <c r="C533" s="6"/>
      <c r="D533" s="6"/>
      <c r="E533" s="2"/>
      <c r="F533" s="2"/>
      <c r="G533" s="2"/>
      <c r="H533" s="2"/>
      <c r="I533" s="2"/>
      <c r="J533" s="4"/>
      <c r="K533" s="9"/>
      <c r="L533"/>
      <c r="M533"/>
      <c r="N533"/>
      <c r="O533"/>
    </row>
    <row r="534" spans="1:15" s="205" customFormat="1">
      <c r="A534"/>
      <c r="C534" s="6"/>
      <c r="D534" s="6"/>
      <c r="E534" s="2"/>
      <c r="F534" s="2"/>
      <c r="G534" s="2"/>
      <c r="H534" s="2"/>
      <c r="I534" s="2"/>
      <c r="J534" s="4"/>
      <c r="K534" s="9"/>
      <c r="L534"/>
      <c r="M534"/>
      <c r="N534"/>
      <c r="O534"/>
    </row>
    <row r="535" spans="1:15" s="205" customFormat="1">
      <c r="A535"/>
      <c r="C535" s="6"/>
      <c r="D535" s="6"/>
      <c r="E535" s="2"/>
      <c r="F535" s="2"/>
      <c r="G535" s="2"/>
      <c r="H535" s="2"/>
      <c r="I535" s="2"/>
      <c r="J535" s="4"/>
      <c r="K535" s="9"/>
      <c r="L535"/>
      <c r="M535"/>
      <c r="N535"/>
      <c r="O535"/>
    </row>
    <row r="536" spans="1:15" s="205" customFormat="1">
      <c r="A536"/>
      <c r="C536" s="6"/>
      <c r="D536" s="6"/>
      <c r="E536" s="2"/>
      <c r="F536" s="2"/>
      <c r="G536" s="2"/>
      <c r="H536" s="2"/>
      <c r="I536" s="2"/>
      <c r="J536" s="4"/>
      <c r="K536" s="9"/>
      <c r="L536"/>
      <c r="M536"/>
      <c r="N536"/>
      <c r="O536"/>
    </row>
    <row r="537" spans="1:15" s="205" customFormat="1">
      <c r="A537"/>
      <c r="C537" s="6"/>
      <c r="D537" s="6"/>
      <c r="E537" s="2"/>
      <c r="F537" s="2"/>
      <c r="G537" s="2"/>
      <c r="H537" s="2"/>
      <c r="I537" s="2"/>
      <c r="J537" s="4"/>
      <c r="K537" s="9"/>
      <c r="L537"/>
      <c r="M537"/>
      <c r="N537"/>
      <c r="O537"/>
    </row>
    <row r="538" spans="1:15" s="205" customFormat="1">
      <c r="A538"/>
      <c r="C538" s="6"/>
      <c r="D538" s="6"/>
      <c r="E538" s="2"/>
      <c r="F538" s="2"/>
      <c r="G538" s="2"/>
      <c r="H538" s="2"/>
      <c r="I538" s="2"/>
      <c r="J538" s="4"/>
      <c r="K538" s="9"/>
      <c r="L538"/>
      <c r="M538"/>
      <c r="N538"/>
      <c r="O538"/>
    </row>
    <row r="539" spans="1:15" s="205" customFormat="1">
      <c r="A539"/>
      <c r="C539" s="6"/>
      <c r="D539" s="6"/>
      <c r="E539" s="2"/>
      <c r="F539" s="2"/>
      <c r="G539" s="2"/>
      <c r="H539" s="2"/>
      <c r="I539" s="2"/>
      <c r="J539" s="4"/>
      <c r="K539" s="9"/>
      <c r="L539"/>
      <c r="M539"/>
      <c r="N539"/>
      <c r="O539"/>
    </row>
    <row r="540" spans="1:15" s="205" customFormat="1">
      <c r="A540"/>
      <c r="C540" s="6"/>
      <c r="D540" s="6"/>
      <c r="E540" s="2"/>
      <c r="F540" s="2"/>
      <c r="G540" s="2"/>
      <c r="H540" s="2"/>
      <c r="I540" s="2"/>
      <c r="J540" s="4"/>
      <c r="K540" s="9"/>
      <c r="L540"/>
      <c r="M540"/>
      <c r="N540"/>
      <c r="O540"/>
    </row>
    <row r="541" spans="1:15" s="205" customFormat="1">
      <c r="A541"/>
      <c r="C541" s="6"/>
      <c r="D541" s="6"/>
      <c r="E541" s="2"/>
      <c r="F541" s="2"/>
      <c r="G541" s="2"/>
      <c r="H541" s="2"/>
      <c r="I541" s="2"/>
      <c r="J541" s="4"/>
      <c r="K541" s="9"/>
      <c r="L541"/>
      <c r="M541"/>
      <c r="N541"/>
      <c r="O541"/>
    </row>
    <row r="542" spans="1:15" s="205" customFormat="1">
      <c r="A542"/>
      <c r="C542" s="6"/>
      <c r="D542" s="6"/>
      <c r="E542" s="2"/>
      <c r="F542" s="2"/>
      <c r="G542" s="2"/>
      <c r="H542" s="2"/>
      <c r="I542" s="2"/>
      <c r="J542" s="4"/>
      <c r="K542" s="9"/>
      <c r="L542"/>
      <c r="M542"/>
      <c r="N542"/>
      <c r="O542"/>
    </row>
    <row r="543" spans="1:15" s="205" customFormat="1">
      <c r="A543"/>
      <c r="C543" s="6"/>
      <c r="D543" s="6"/>
      <c r="E543" s="2"/>
      <c r="F543" s="2"/>
      <c r="G543" s="2"/>
      <c r="H543" s="2"/>
      <c r="I543" s="2"/>
      <c r="J543" s="4"/>
      <c r="K543" s="9"/>
      <c r="L543"/>
      <c r="M543"/>
      <c r="N543"/>
      <c r="O543"/>
    </row>
    <row r="544" spans="1:15" s="205" customFormat="1">
      <c r="A544"/>
      <c r="C544" s="6"/>
      <c r="D544" s="6"/>
      <c r="E544" s="2"/>
      <c r="F544" s="2"/>
      <c r="G544" s="2"/>
      <c r="H544" s="2"/>
      <c r="I544" s="2"/>
      <c r="J544" s="4"/>
      <c r="K544" s="9"/>
      <c r="L544"/>
      <c r="M544"/>
      <c r="N544"/>
      <c r="O544"/>
    </row>
    <row r="545" spans="1:15" s="205" customFormat="1">
      <c r="A545"/>
      <c r="C545" s="6"/>
      <c r="D545" s="6"/>
      <c r="E545" s="2"/>
      <c r="F545" s="2"/>
      <c r="G545" s="2"/>
      <c r="H545" s="2"/>
      <c r="I545" s="2"/>
      <c r="J545" s="4"/>
      <c r="K545" s="9"/>
      <c r="L545"/>
      <c r="M545"/>
      <c r="N545"/>
      <c r="O545"/>
    </row>
    <row r="546" spans="1:15" s="205" customFormat="1">
      <c r="A546"/>
      <c r="C546" s="6"/>
      <c r="D546" s="6"/>
      <c r="E546" s="2"/>
      <c r="F546" s="2"/>
      <c r="G546" s="2"/>
      <c r="H546" s="2"/>
      <c r="I546" s="2"/>
      <c r="J546" s="4"/>
      <c r="K546" s="9"/>
      <c r="L546"/>
      <c r="M546"/>
      <c r="N546"/>
      <c r="O546"/>
    </row>
    <row r="547" spans="1:15" s="205" customFormat="1">
      <c r="A547"/>
      <c r="C547" s="6"/>
      <c r="D547" s="6"/>
      <c r="E547" s="2"/>
      <c r="F547" s="2"/>
      <c r="G547" s="2"/>
      <c r="H547" s="2"/>
      <c r="I547" s="2"/>
      <c r="J547" s="4"/>
      <c r="K547" s="9"/>
      <c r="L547"/>
      <c r="M547"/>
      <c r="N547"/>
      <c r="O547"/>
    </row>
    <row r="548" spans="1:15" s="205" customFormat="1">
      <c r="A548"/>
      <c r="C548" s="6"/>
      <c r="D548" s="6"/>
      <c r="E548" s="2"/>
      <c r="F548" s="2"/>
      <c r="G548" s="2"/>
      <c r="H548" s="2"/>
      <c r="I548" s="2"/>
      <c r="J548" s="4"/>
      <c r="K548" s="9"/>
      <c r="L548"/>
      <c r="M548"/>
      <c r="N548"/>
      <c r="O548"/>
    </row>
    <row r="549" spans="1:15" s="205" customFormat="1">
      <c r="A549"/>
      <c r="C549" s="6"/>
      <c r="D549" s="6"/>
      <c r="E549" s="2"/>
      <c r="F549" s="2"/>
      <c r="G549" s="2"/>
      <c r="H549" s="2"/>
      <c r="I549" s="2"/>
      <c r="J549" s="4"/>
      <c r="K549" s="9"/>
      <c r="L549"/>
      <c r="M549"/>
      <c r="N549"/>
      <c r="O549"/>
    </row>
    <row r="550" spans="1:15" s="205" customFormat="1">
      <c r="A550"/>
      <c r="C550" s="6"/>
      <c r="D550" s="6"/>
      <c r="E550" s="2"/>
      <c r="F550" s="2"/>
      <c r="G550" s="2"/>
      <c r="H550" s="2"/>
      <c r="I550" s="2"/>
      <c r="J550" s="4"/>
      <c r="K550" s="9"/>
      <c r="L550"/>
      <c r="M550"/>
      <c r="N550"/>
      <c r="O550"/>
    </row>
    <row r="551" spans="1:15" s="205" customFormat="1">
      <c r="A551"/>
      <c r="C551" s="6"/>
      <c r="D551" s="6"/>
      <c r="E551" s="2"/>
      <c r="F551" s="2"/>
      <c r="G551" s="2"/>
      <c r="H551" s="2"/>
      <c r="I551" s="2"/>
      <c r="J551" s="4"/>
      <c r="K551" s="9"/>
      <c r="L551"/>
      <c r="M551"/>
      <c r="N551"/>
      <c r="O551"/>
    </row>
    <row r="552" spans="1:15" s="205" customFormat="1">
      <c r="A552"/>
      <c r="C552" s="6"/>
      <c r="D552" s="6"/>
      <c r="E552" s="2"/>
      <c r="F552" s="2"/>
      <c r="G552" s="2"/>
      <c r="H552" s="2"/>
      <c r="I552" s="2"/>
      <c r="J552" s="4"/>
      <c r="K552" s="9"/>
      <c r="L552"/>
      <c r="M552"/>
      <c r="N552"/>
      <c r="O552"/>
    </row>
    <row r="553" spans="1:15" s="205" customFormat="1">
      <c r="A553"/>
      <c r="C553" s="6"/>
      <c r="D553" s="6"/>
      <c r="E553" s="2"/>
      <c r="F553" s="2"/>
      <c r="G553" s="2"/>
      <c r="H553" s="2"/>
      <c r="I553" s="2"/>
      <c r="J553" s="4"/>
      <c r="K553" s="9"/>
      <c r="L553"/>
      <c r="M553"/>
      <c r="N553"/>
      <c r="O553"/>
    </row>
    <row r="554" spans="1:15" s="205" customFormat="1">
      <c r="A554"/>
      <c r="C554" s="6"/>
      <c r="D554" s="6"/>
      <c r="E554" s="2"/>
      <c r="F554" s="2"/>
      <c r="G554" s="2"/>
      <c r="H554" s="2"/>
      <c r="I554" s="2"/>
      <c r="J554" s="4"/>
      <c r="K554" s="9"/>
      <c r="L554"/>
      <c r="M554"/>
      <c r="N554"/>
      <c r="O554"/>
    </row>
    <row r="555" spans="1:15" s="205" customFormat="1">
      <c r="A555"/>
      <c r="C555" s="6"/>
      <c r="D555" s="6"/>
      <c r="E555" s="2"/>
      <c r="F555" s="2"/>
      <c r="G555" s="2"/>
      <c r="H555" s="2"/>
      <c r="I555" s="2"/>
      <c r="J555" s="4"/>
      <c r="K555" s="9"/>
      <c r="L555"/>
      <c r="M555"/>
      <c r="N555"/>
      <c r="O555"/>
    </row>
    <row r="556" spans="1:15" s="205" customFormat="1">
      <c r="A556"/>
      <c r="C556" s="6"/>
      <c r="D556" s="6"/>
      <c r="E556" s="2"/>
      <c r="F556" s="2"/>
      <c r="G556" s="2"/>
      <c r="H556" s="2"/>
      <c r="I556" s="2"/>
      <c r="J556" s="4"/>
      <c r="K556" s="9"/>
      <c r="L556"/>
      <c r="M556"/>
      <c r="N556"/>
      <c r="O556"/>
    </row>
    <row r="557" spans="1:15" s="205" customFormat="1">
      <c r="A557"/>
      <c r="C557" s="6"/>
      <c r="D557" s="6"/>
      <c r="E557" s="2"/>
      <c r="F557" s="2"/>
      <c r="G557" s="2"/>
      <c r="H557" s="2"/>
      <c r="I557" s="2"/>
      <c r="J557" s="4"/>
      <c r="K557" s="9"/>
      <c r="L557"/>
      <c r="M557"/>
      <c r="N557"/>
      <c r="O557"/>
    </row>
    <row r="558" spans="1:15" s="205" customFormat="1">
      <c r="A558"/>
      <c r="C558" s="6"/>
      <c r="D558" s="6"/>
      <c r="E558" s="2"/>
      <c r="F558" s="2"/>
      <c r="G558" s="2"/>
      <c r="H558" s="2"/>
      <c r="I558" s="2"/>
      <c r="J558" s="4"/>
      <c r="K558" s="9"/>
      <c r="L558"/>
      <c r="M558"/>
      <c r="N558"/>
      <c r="O558"/>
    </row>
    <row r="559" spans="1:15" s="205" customFormat="1">
      <c r="A559"/>
      <c r="C559" s="6"/>
      <c r="D559" s="6"/>
      <c r="E559" s="2"/>
      <c r="F559" s="2"/>
      <c r="G559" s="2"/>
      <c r="H559" s="2"/>
      <c r="I559" s="2"/>
      <c r="J559" s="4"/>
      <c r="K559" s="9"/>
      <c r="L559"/>
      <c r="M559"/>
      <c r="N559"/>
      <c r="O559"/>
    </row>
    <row r="560" spans="1:15" s="205" customFormat="1">
      <c r="A560"/>
      <c r="C560" s="6"/>
      <c r="D560" s="6"/>
      <c r="E560" s="2"/>
      <c r="F560" s="2"/>
      <c r="G560" s="2"/>
      <c r="H560" s="2"/>
      <c r="I560" s="2"/>
      <c r="J560" s="4"/>
      <c r="K560" s="9"/>
      <c r="L560"/>
      <c r="M560"/>
      <c r="N560"/>
      <c r="O560"/>
    </row>
    <row r="561" spans="1:15" s="205" customFormat="1">
      <c r="A561"/>
      <c r="C561" s="6"/>
      <c r="D561" s="6"/>
      <c r="E561" s="2"/>
      <c r="F561" s="2"/>
      <c r="G561" s="2"/>
      <c r="H561" s="2"/>
      <c r="I561" s="2"/>
      <c r="J561" s="4"/>
      <c r="K561" s="9"/>
      <c r="L561"/>
      <c r="M561"/>
      <c r="N561"/>
      <c r="O561"/>
    </row>
    <row r="562" spans="1:15" s="205" customFormat="1">
      <c r="A562"/>
      <c r="C562" s="6"/>
      <c r="D562" s="6"/>
      <c r="E562" s="2"/>
      <c r="F562" s="2"/>
      <c r="G562" s="2"/>
      <c r="H562" s="2"/>
      <c r="I562" s="2"/>
      <c r="J562" s="4"/>
      <c r="K562" s="9"/>
      <c r="L562"/>
      <c r="M562"/>
      <c r="N562"/>
      <c r="O562"/>
    </row>
    <row r="563" spans="1:15" s="205" customFormat="1">
      <c r="A563"/>
      <c r="C563" s="6"/>
      <c r="D563" s="6"/>
      <c r="E563" s="2"/>
      <c r="F563" s="2"/>
      <c r="G563" s="2"/>
      <c r="H563" s="2"/>
      <c r="I563" s="2"/>
      <c r="J563" s="4"/>
      <c r="K563" s="9"/>
      <c r="L563"/>
      <c r="M563"/>
      <c r="N563"/>
      <c r="O563"/>
    </row>
    <row r="564" spans="1:15" s="205" customFormat="1">
      <c r="A564"/>
      <c r="C564" s="6"/>
      <c r="D564" s="6"/>
      <c r="E564" s="2"/>
      <c r="F564" s="2"/>
      <c r="G564" s="2"/>
      <c r="H564" s="2"/>
      <c r="I564" s="2"/>
      <c r="J564" s="4"/>
      <c r="K564" s="9"/>
      <c r="L564"/>
      <c r="M564"/>
      <c r="N564"/>
      <c r="O564"/>
    </row>
    <row r="565" spans="1:15" s="205" customFormat="1">
      <c r="A565"/>
      <c r="C565" s="6"/>
      <c r="D565" s="6"/>
      <c r="E565" s="2"/>
      <c r="F565" s="2"/>
      <c r="G565" s="2"/>
      <c r="H565" s="2"/>
      <c r="I565" s="2"/>
      <c r="J565" s="4"/>
      <c r="K565" s="9"/>
      <c r="L565"/>
      <c r="M565"/>
      <c r="N565"/>
      <c r="O565"/>
    </row>
    <row r="566" spans="1:15" s="205" customFormat="1">
      <c r="A566"/>
      <c r="C566" s="6"/>
      <c r="D566" s="6"/>
      <c r="E566" s="2"/>
      <c r="F566" s="2"/>
      <c r="G566" s="2"/>
      <c r="H566" s="2"/>
      <c r="I566" s="2"/>
      <c r="J566" s="4"/>
      <c r="K566" s="9"/>
      <c r="L566"/>
      <c r="M566"/>
      <c r="N566"/>
      <c r="O566"/>
    </row>
    <row r="567" spans="1:15" s="205" customFormat="1">
      <c r="A567"/>
      <c r="C567" s="6"/>
      <c r="D567" s="6"/>
      <c r="E567" s="2"/>
      <c r="F567" s="2"/>
      <c r="G567" s="2"/>
      <c r="H567" s="2"/>
      <c r="I567" s="2"/>
      <c r="J567" s="4"/>
      <c r="K567" s="9"/>
      <c r="L567"/>
      <c r="M567"/>
      <c r="N567"/>
      <c r="O567"/>
    </row>
    <row r="568" spans="1:15" s="205" customFormat="1">
      <c r="A568"/>
      <c r="C568" s="6"/>
      <c r="D568" s="6"/>
      <c r="E568" s="2"/>
      <c r="F568" s="2"/>
      <c r="G568" s="2"/>
      <c r="H568" s="2"/>
      <c r="I568" s="2"/>
      <c r="J568" s="4"/>
      <c r="K568" s="9"/>
      <c r="L568"/>
      <c r="M568"/>
      <c r="N568"/>
      <c r="O568"/>
    </row>
    <row r="569" spans="1:15" s="205" customFormat="1">
      <c r="A569"/>
      <c r="C569" s="6"/>
      <c r="D569" s="6"/>
      <c r="E569" s="2"/>
      <c r="F569" s="2"/>
      <c r="G569" s="2"/>
      <c r="H569" s="2"/>
      <c r="I569" s="2"/>
      <c r="J569" s="4"/>
      <c r="K569" s="9"/>
      <c r="L569"/>
      <c r="M569"/>
      <c r="N569"/>
      <c r="O569"/>
    </row>
    <row r="570" spans="1:15" s="205" customFormat="1">
      <c r="A570"/>
      <c r="C570" s="6"/>
      <c r="D570" s="6"/>
      <c r="E570" s="2"/>
      <c r="F570" s="2"/>
      <c r="G570" s="2"/>
      <c r="H570" s="2"/>
      <c r="I570" s="2"/>
      <c r="J570" s="4"/>
      <c r="K570" s="9"/>
      <c r="L570"/>
      <c r="M570"/>
      <c r="N570"/>
      <c r="O570"/>
    </row>
    <row r="571" spans="1:15" s="205" customFormat="1">
      <c r="A571"/>
      <c r="C571" s="6"/>
      <c r="D571" s="6"/>
      <c r="E571" s="2"/>
      <c r="F571" s="2"/>
      <c r="G571" s="2"/>
      <c r="H571" s="2"/>
      <c r="I571" s="2"/>
      <c r="J571" s="4"/>
      <c r="K571" s="9"/>
      <c r="L571"/>
      <c r="M571"/>
      <c r="N571"/>
      <c r="O571"/>
    </row>
    <row r="572" spans="1:15" s="205" customFormat="1">
      <c r="A572"/>
      <c r="C572" s="6"/>
      <c r="D572" s="6"/>
      <c r="E572" s="2"/>
      <c r="F572" s="2"/>
      <c r="G572" s="2"/>
      <c r="H572" s="2"/>
      <c r="I572" s="2"/>
      <c r="J572" s="4"/>
      <c r="K572" s="9"/>
      <c r="L572"/>
      <c r="M572"/>
      <c r="N572"/>
      <c r="O572"/>
    </row>
    <row r="573" spans="1:15" s="205" customFormat="1">
      <c r="A573"/>
      <c r="C573" s="6"/>
      <c r="D573" s="6"/>
      <c r="E573" s="2"/>
      <c r="F573" s="2"/>
      <c r="G573" s="2"/>
      <c r="H573" s="2"/>
      <c r="I573" s="2"/>
      <c r="J573" s="4"/>
      <c r="K573" s="9"/>
      <c r="L573"/>
      <c r="M573"/>
      <c r="N573"/>
      <c r="O573"/>
    </row>
    <row r="574" spans="1:15" s="205" customFormat="1">
      <c r="A574"/>
      <c r="C574" s="6"/>
      <c r="D574" s="6"/>
      <c r="E574" s="2"/>
      <c r="F574" s="2"/>
      <c r="G574" s="2"/>
      <c r="H574" s="2"/>
      <c r="I574" s="2"/>
      <c r="J574" s="4"/>
      <c r="K574" s="9"/>
      <c r="L574"/>
      <c r="M574"/>
      <c r="N574"/>
      <c r="O574"/>
    </row>
    <row r="575" spans="1:15" s="205" customFormat="1">
      <c r="A575"/>
      <c r="C575" s="6"/>
      <c r="D575" s="6"/>
      <c r="E575" s="2"/>
      <c r="F575" s="2"/>
      <c r="G575" s="2"/>
      <c r="H575" s="2"/>
      <c r="I575" s="2"/>
      <c r="J575" s="4"/>
      <c r="K575" s="9"/>
      <c r="L575"/>
      <c r="M575"/>
      <c r="N575"/>
      <c r="O575"/>
    </row>
    <row r="576" spans="1:15" s="205" customFormat="1">
      <c r="A576"/>
      <c r="C576" s="6"/>
      <c r="D576" s="6"/>
      <c r="E576" s="2"/>
      <c r="F576" s="2"/>
      <c r="G576" s="2"/>
      <c r="H576" s="2"/>
      <c r="I576" s="2"/>
      <c r="J576" s="4"/>
      <c r="K576" s="9"/>
      <c r="L576"/>
      <c r="M576"/>
      <c r="N576"/>
      <c r="O576"/>
    </row>
    <row r="577" spans="1:15" s="205" customFormat="1">
      <c r="A577"/>
      <c r="C577" s="6"/>
      <c r="D577" s="6"/>
      <c r="E577" s="2"/>
      <c r="F577" s="2"/>
      <c r="G577" s="2"/>
      <c r="H577" s="2"/>
      <c r="I577" s="2"/>
      <c r="J577" s="4"/>
      <c r="K577" s="9"/>
      <c r="L577"/>
      <c r="M577"/>
      <c r="N577"/>
      <c r="O577"/>
    </row>
    <row r="578" spans="1:15" s="205" customFormat="1">
      <c r="A578"/>
      <c r="C578" s="6"/>
      <c r="D578" s="6"/>
      <c r="E578" s="2"/>
      <c r="F578" s="2"/>
      <c r="G578" s="2"/>
      <c r="H578" s="2"/>
      <c r="I578" s="2"/>
      <c r="J578" s="4"/>
      <c r="K578" s="9"/>
      <c r="L578"/>
      <c r="M578"/>
      <c r="N578"/>
      <c r="O578"/>
    </row>
    <row r="579" spans="1:15" s="205" customFormat="1">
      <c r="A579"/>
      <c r="C579" s="6"/>
      <c r="D579" s="6"/>
      <c r="E579" s="2"/>
      <c r="F579" s="2"/>
      <c r="G579" s="2"/>
      <c r="H579" s="2"/>
      <c r="I579" s="2"/>
      <c r="J579" s="4"/>
      <c r="K579" s="9"/>
      <c r="L579"/>
      <c r="M579"/>
      <c r="N579"/>
      <c r="O579"/>
    </row>
    <row r="580" spans="1:15" s="205" customFormat="1">
      <c r="A580"/>
      <c r="C580" s="6"/>
      <c r="D580" s="6"/>
      <c r="E580" s="2"/>
      <c r="F580" s="2"/>
      <c r="G580" s="2"/>
      <c r="H580" s="2"/>
      <c r="I580" s="2"/>
      <c r="J580" s="4"/>
      <c r="K580" s="9"/>
      <c r="L580"/>
      <c r="M580"/>
      <c r="N580"/>
      <c r="O580"/>
    </row>
    <row r="581" spans="1:15" s="205" customFormat="1">
      <c r="A581"/>
      <c r="C581" s="6"/>
      <c r="D581" s="6"/>
      <c r="E581" s="2"/>
      <c r="F581" s="2"/>
      <c r="G581" s="2"/>
      <c r="H581" s="2"/>
      <c r="I581" s="2"/>
      <c r="J581" s="4"/>
      <c r="K581" s="9"/>
      <c r="L581"/>
      <c r="M581"/>
      <c r="N581"/>
      <c r="O581"/>
    </row>
    <row r="582" spans="1:15" s="205" customFormat="1">
      <c r="A582"/>
      <c r="C582" s="6"/>
      <c r="D582" s="6"/>
      <c r="E582" s="2"/>
      <c r="F582" s="2"/>
      <c r="G582" s="2"/>
      <c r="H582" s="2"/>
      <c r="I582" s="2"/>
      <c r="J582" s="4"/>
      <c r="K582" s="9"/>
      <c r="L582"/>
      <c r="M582"/>
      <c r="N582"/>
      <c r="O582"/>
    </row>
    <row r="583" spans="1:15" s="205" customFormat="1">
      <c r="A583"/>
      <c r="C583" s="6"/>
      <c r="D583" s="6"/>
      <c r="E583" s="2"/>
      <c r="F583" s="2"/>
      <c r="G583" s="2"/>
      <c r="H583" s="2"/>
      <c r="I583" s="2"/>
      <c r="J583" s="4"/>
      <c r="K583" s="9"/>
      <c r="L583"/>
      <c r="M583"/>
      <c r="N583"/>
      <c r="O583"/>
    </row>
    <row r="584" spans="1:15" s="205" customFormat="1">
      <c r="A584"/>
      <c r="C584" s="6"/>
      <c r="D584" s="6"/>
      <c r="E584" s="2"/>
      <c r="F584" s="2"/>
      <c r="G584" s="2"/>
      <c r="H584" s="2"/>
      <c r="I584" s="2"/>
      <c r="J584" s="4"/>
      <c r="K584" s="9"/>
      <c r="L584"/>
      <c r="M584"/>
      <c r="N584"/>
      <c r="O584"/>
    </row>
    <row r="585" spans="1:15" s="205" customFormat="1">
      <c r="A585"/>
      <c r="C585" s="6"/>
      <c r="D585" s="6"/>
      <c r="E585" s="2"/>
      <c r="F585" s="2"/>
      <c r="G585" s="2"/>
      <c r="H585" s="2"/>
      <c r="I585" s="2"/>
      <c r="J585" s="4"/>
      <c r="K585" s="9"/>
      <c r="L585"/>
      <c r="M585"/>
      <c r="N585"/>
      <c r="O585"/>
    </row>
    <row r="586" spans="1:15" s="205" customFormat="1">
      <c r="A586"/>
      <c r="C586" s="6"/>
      <c r="D586" s="6"/>
      <c r="E586" s="2"/>
      <c r="F586" s="2"/>
      <c r="G586" s="2"/>
      <c r="H586" s="2"/>
      <c r="I586" s="2"/>
      <c r="J586" s="4"/>
      <c r="K586" s="9"/>
      <c r="L586"/>
      <c r="M586"/>
      <c r="N586"/>
      <c r="O586"/>
    </row>
    <row r="587" spans="1:15" s="205" customFormat="1">
      <c r="A587"/>
      <c r="C587" s="6"/>
      <c r="D587" s="6"/>
      <c r="E587" s="2"/>
      <c r="F587" s="2"/>
      <c r="G587" s="2"/>
      <c r="H587" s="2"/>
      <c r="I587" s="2"/>
      <c r="J587" s="4"/>
      <c r="K587" s="9"/>
      <c r="L587"/>
      <c r="M587"/>
      <c r="N587"/>
      <c r="O587"/>
    </row>
    <row r="588" spans="1:15" s="205" customFormat="1">
      <c r="A588"/>
      <c r="C588" s="6"/>
      <c r="D588" s="6"/>
      <c r="E588" s="2"/>
      <c r="F588" s="2"/>
      <c r="G588" s="2"/>
      <c r="H588" s="2"/>
      <c r="I588" s="2"/>
      <c r="J588" s="4"/>
      <c r="K588" s="9"/>
      <c r="L588"/>
      <c r="M588"/>
      <c r="N588"/>
      <c r="O588"/>
    </row>
    <row r="589" spans="1:15" s="205" customFormat="1">
      <c r="A589"/>
      <c r="C589" s="6"/>
      <c r="D589" s="6"/>
      <c r="E589" s="2"/>
      <c r="F589" s="2"/>
      <c r="G589" s="2"/>
      <c r="H589" s="2"/>
      <c r="I589" s="2"/>
      <c r="J589" s="4"/>
      <c r="K589" s="9"/>
      <c r="L589"/>
      <c r="M589"/>
      <c r="N589"/>
      <c r="O589"/>
    </row>
    <row r="590" spans="1:15" s="205" customFormat="1">
      <c r="A590"/>
      <c r="C590" s="6"/>
      <c r="D590" s="6"/>
      <c r="E590" s="2"/>
      <c r="F590" s="2"/>
      <c r="G590" s="2"/>
      <c r="H590" s="2"/>
      <c r="I590" s="2"/>
      <c r="J590" s="4"/>
      <c r="K590" s="9"/>
      <c r="L590"/>
      <c r="M590"/>
      <c r="N590"/>
      <c r="O590"/>
    </row>
    <row r="591" spans="1:15" s="205" customFormat="1">
      <c r="A591"/>
      <c r="C591" s="6"/>
      <c r="D591" s="6"/>
      <c r="E591" s="2"/>
      <c r="F591" s="2"/>
      <c r="G591" s="2"/>
      <c r="H591" s="2"/>
      <c r="I591" s="2"/>
      <c r="J591" s="4"/>
      <c r="K591" s="9"/>
      <c r="L591"/>
      <c r="M591"/>
      <c r="N591"/>
      <c r="O591"/>
    </row>
    <row r="592" spans="1:15" s="205" customFormat="1">
      <c r="A592"/>
      <c r="C592" s="6"/>
      <c r="D592" s="6"/>
      <c r="E592" s="2"/>
      <c r="F592" s="2"/>
      <c r="G592" s="2"/>
      <c r="H592" s="2"/>
      <c r="I592" s="2"/>
      <c r="J592" s="4"/>
      <c r="K592" s="9"/>
      <c r="L592"/>
      <c r="M592"/>
      <c r="N592"/>
      <c r="O592"/>
    </row>
    <row r="593" spans="1:15" s="205" customFormat="1">
      <c r="A593"/>
      <c r="C593" s="6"/>
      <c r="D593" s="6"/>
      <c r="E593" s="2"/>
      <c r="F593" s="2"/>
      <c r="G593" s="2"/>
      <c r="H593" s="2"/>
      <c r="I593" s="2"/>
      <c r="J593" s="4"/>
      <c r="K593" s="9"/>
      <c r="L593"/>
      <c r="M593"/>
      <c r="N593"/>
      <c r="O593"/>
    </row>
    <row r="594" spans="1:15" s="205" customFormat="1">
      <c r="A594"/>
      <c r="C594" s="6"/>
      <c r="D594" s="6"/>
      <c r="E594" s="2"/>
      <c r="F594" s="2"/>
      <c r="G594" s="2"/>
      <c r="H594" s="2"/>
      <c r="I594" s="2"/>
      <c r="J594" s="4"/>
      <c r="K594" s="9"/>
      <c r="L594"/>
      <c r="M594"/>
      <c r="N594"/>
      <c r="O594"/>
    </row>
    <row r="595" spans="1:15" s="205" customFormat="1">
      <c r="A595"/>
      <c r="C595" s="6"/>
      <c r="D595" s="6"/>
      <c r="E595" s="2"/>
      <c r="F595" s="2"/>
      <c r="G595" s="2"/>
      <c r="H595" s="2"/>
      <c r="I595" s="2"/>
      <c r="J595" s="4"/>
      <c r="K595" s="9"/>
      <c r="L595"/>
      <c r="M595"/>
      <c r="N595"/>
      <c r="O595"/>
    </row>
    <row r="596" spans="1:15" s="205" customFormat="1">
      <c r="A596"/>
      <c r="C596" s="6"/>
      <c r="D596" s="6"/>
      <c r="E596" s="2"/>
      <c r="F596" s="2"/>
      <c r="G596" s="2"/>
      <c r="H596" s="2"/>
      <c r="I596" s="2"/>
      <c r="J596" s="4"/>
      <c r="K596" s="9"/>
      <c r="L596"/>
      <c r="M596"/>
      <c r="N596"/>
      <c r="O596"/>
    </row>
    <row r="597" spans="1:15" s="205" customFormat="1">
      <c r="A597"/>
      <c r="C597" s="6"/>
      <c r="D597" s="6"/>
      <c r="E597" s="2"/>
      <c r="F597" s="2"/>
      <c r="G597" s="2"/>
      <c r="H597" s="2"/>
      <c r="I597" s="2"/>
      <c r="J597" s="4"/>
      <c r="K597" s="9"/>
      <c r="L597"/>
      <c r="M597"/>
      <c r="N597"/>
      <c r="O597"/>
    </row>
    <row r="598" spans="1:15" s="205" customFormat="1">
      <c r="A598"/>
      <c r="C598" s="6"/>
      <c r="D598" s="6"/>
      <c r="E598" s="2"/>
      <c r="F598" s="2"/>
      <c r="G598" s="2"/>
      <c r="H598" s="2"/>
      <c r="I598" s="2"/>
      <c r="J598" s="4"/>
      <c r="K598" s="9"/>
      <c r="L598"/>
      <c r="M598"/>
      <c r="N598"/>
      <c r="O598"/>
    </row>
    <row r="599" spans="1:15" s="205" customFormat="1">
      <c r="A599"/>
      <c r="C599" s="6"/>
      <c r="D599" s="6"/>
      <c r="E599" s="2"/>
      <c r="F599" s="2"/>
      <c r="G599" s="2"/>
      <c r="H599" s="2"/>
      <c r="I599" s="2"/>
      <c r="J599" s="4"/>
      <c r="K599" s="9"/>
      <c r="L599"/>
      <c r="M599"/>
      <c r="N599"/>
      <c r="O599"/>
    </row>
    <row r="600" spans="1:15" s="205" customFormat="1">
      <c r="A600"/>
      <c r="C600" s="6"/>
      <c r="D600" s="6"/>
      <c r="E600" s="2"/>
      <c r="F600" s="2"/>
      <c r="G600" s="2"/>
      <c r="H600" s="2"/>
      <c r="I600" s="2"/>
      <c r="J600" s="4"/>
      <c r="K600" s="9"/>
      <c r="L600"/>
      <c r="M600"/>
      <c r="N600"/>
      <c r="O600"/>
    </row>
    <row r="601" spans="1:15" s="205" customFormat="1">
      <c r="A601"/>
      <c r="C601" s="6"/>
      <c r="D601" s="6"/>
      <c r="E601" s="2"/>
      <c r="F601" s="2"/>
      <c r="G601" s="2"/>
      <c r="H601" s="2"/>
      <c r="I601" s="2"/>
      <c r="J601" s="4"/>
      <c r="K601" s="9"/>
      <c r="L601"/>
      <c r="M601"/>
      <c r="N601"/>
      <c r="O601"/>
    </row>
    <row r="602" spans="1:15" s="205" customFormat="1">
      <c r="A602"/>
      <c r="C602" s="6"/>
      <c r="D602" s="6"/>
      <c r="E602" s="2"/>
      <c r="F602" s="2"/>
      <c r="G602" s="2"/>
      <c r="H602" s="2"/>
      <c r="I602" s="2"/>
      <c r="J602" s="4"/>
      <c r="K602" s="9"/>
      <c r="L602"/>
      <c r="M602"/>
      <c r="N602"/>
      <c r="O602"/>
    </row>
    <row r="603" spans="1:15" s="205" customFormat="1">
      <c r="A603"/>
      <c r="C603" s="6"/>
      <c r="D603" s="6"/>
      <c r="E603" s="2"/>
      <c r="F603" s="2"/>
      <c r="G603" s="2"/>
      <c r="H603" s="2"/>
      <c r="I603" s="2"/>
      <c r="J603" s="4"/>
      <c r="K603" s="9"/>
      <c r="L603"/>
      <c r="M603"/>
      <c r="N603"/>
      <c r="O603"/>
    </row>
    <row r="604" spans="1:15" s="205" customFormat="1">
      <c r="A604"/>
      <c r="C604" s="6"/>
      <c r="D604" s="6"/>
      <c r="E604" s="2"/>
      <c r="F604" s="2"/>
      <c r="G604" s="2"/>
      <c r="H604" s="2"/>
      <c r="I604" s="2"/>
      <c r="J604" s="4"/>
      <c r="K604" s="9"/>
      <c r="L604"/>
      <c r="M604"/>
      <c r="N604"/>
      <c r="O604"/>
    </row>
    <row r="605" spans="1:15" s="205" customFormat="1">
      <c r="A605"/>
      <c r="C605" s="6"/>
      <c r="D605" s="6"/>
      <c r="E605" s="2"/>
      <c r="F605" s="2"/>
      <c r="G605" s="2"/>
      <c r="H605" s="2"/>
      <c r="I605" s="2"/>
      <c r="J605" s="4"/>
      <c r="K605" s="9"/>
      <c r="L605"/>
      <c r="M605"/>
      <c r="N605"/>
      <c r="O605"/>
    </row>
    <row r="606" spans="1:15" s="205" customFormat="1">
      <c r="A606"/>
      <c r="C606" s="6"/>
      <c r="D606" s="6"/>
      <c r="E606" s="2"/>
      <c r="F606" s="2"/>
      <c r="G606" s="2"/>
      <c r="H606" s="2"/>
      <c r="I606" s="2"/>
      <c r="J606" s="4"/>
      <c r="K606" s="9"/>
      <c r="L606"/>
      <c r="M606"/>
      <c r="N606"/>
      <c r="O606"/>
    </row>
    <row r="607" spans="1:15" s="205" customFormat="1">
      <c r="A607"/>
      <c r="C607" s="6"/>
      <c r="D607" s="6"/>
      <c r="E607" s="2"/>
      <c r="F607" s="2"/>
      <c r="G607" s="2"/>
      <c r="H607" s="2"/>
      <c r="I607" s="2"/>
      <c r="J607" s="4"/>
      <c r="K607" s="9"/>
      <c r="L607"/>
      <c r="M607"/>
      <c r="N607"/>
      <c r="O607"/>
    </row>
    <row r="608" spans="1:15" s="205" customFormat="1">
      <c r="A608"/>
      <c r="C608" s="6"/>
      <c r="D608" s="6"/>
      <c r="E608" s="2"/>
      <c r="F608" s="2"/>
      <c r="G608" s="2"/>
      <c r="H608" s="2"/>
      <c r="I608" s="2"/>
      <c r="J608" s="4"/>
      <c r="K608" s="9"/>
      <c r="L608"/>
      <c r="M608"/>
      <c r="N608"/>
      <c r="O608"/>
    </row>
    <row r="609" spans="1:15" s="205" customFormat="1">
      <c r="A609"/>
      <c r="C609" s="6"/>
      <c r="D609" s="6"/>
      <c r="E609" s="2"/>
      <c r="F609" s="2"/>
      <c r="G609" s="2"/>
      <c r="H609" s="2"/>
      <c r="I609" s="2"/>
      <c r="J609" s="4"/>
      <c r="K609" s="9"/>
      <c r="L609"/>
      <c r="M609"/>
      <c r="N609"/>
      <c r="O609"/>
    </row>
    <row r="610" spans="1:15" s="205" customFormat="1">
      <c r="A610"/>
      <c r="C610" s="6"/>
      <c r="D610" s="6"/>
      <c r="E610" s="2"/>
      <c r="F610" s="2"/>
      <c r="G610" s="2"/>
      <c r="H610" s="2"/>
      <c r="I610" s="2"/>
      <c r="J610" s="4"/>
      <c r="K610" s="9"/>
      <c r="L610"/>
      <c r="M610"/>
      <c r="N610"/>
      <c r="O610"/>
    </row>
    <row r="611" spans="1:15" s="205" customFormat="1">
      <c r="A611"/>
      <c r="C611" s="6"/>
      <c r="D611" s="6"/>
      <c r="E611" s="2"/>
      <c r="F611" s="2"/>
      <c r="G611" s="2"/>
      <c r="H611" s="2"/>
      <c r="I611" s="2"/>
      <c r="J611" s="4"/>
      <c r="K611" s="9"/>
      <c r="L611"/>
      <c r="M611"/>
      <c r="N611"/>
      <c r="O611"/>
    </row>
    <row r="612" spans="1:15" s="205" customFormat="1">
      <c r="A612"/>
      <c r="C612" s="6"/>
      <c r="D612" s="6"/>
      <c r="E612" s="2"/>
      <c r="F612" s="2"/>
      <c r="G612" s="2"/>
      <c r="H612" s="2"/>
      <c r="I612" s="2"/>
      <c r="J612" s="4"/>
      <c r="K612" s="9"/>
      <c r="L612"/>
      <c r="M612"/>
      <c r="N612"/>
      <c r="O612"/>
    </row>
    <row r="613" spans="1:15" s="205" customFormat="1">
      <c r="A613"/>
      <c r="C613" s="6"/>
      <c r="D613" s="6"/>
      <c r="E613" s="2"/>
      <c r="F613" s="2"/>
      <c r="G613" s="2"/>
      <c r="H613" s="2"/>
      <c r="I613" s="2"/>
      <c r="J613" s="4"/>
      <c r="K613" s="9"/>
      <c r="L613"/>
      <c r="M613"/>
      <c r="N613"/>
      <c r="O613"/>
    </row>
    <row r="614" spans="1:15" s="205" customFormat="1">
      <c r="A614"/>
      <c r="C614" s="6"/>
      <c r="D614" s="6"/>
      <c r="E614" s="2"/>
      <c r="F614" s="2"/>
      <c r="G614" s="2"/>
      <c r="H614" s="2"/>
      <c r="I614" s="2"/>
      <c r="J614" s="4"/>
      <c r="K614" s="9"/>
      <c r="L614"/>
      <c r="M614"/>
      <c r="N614"/>
      <c r="O614"/>
    </row>
    <row r="615" spans="1:15" s="205" customFormat="1">
      <c r="A615"/>
      <c r="C615" s="6"/>
      <c r="D615" s="6"/>
      <c r="E615" s="2"/>
      <c r="F615" s="2"/>
      <c r="G615" s="2"/>
      <c r="H615" s="2"/>
      <c r="I615" s="2"/>
      <c r="J615" s="4"/>
      <c r="K615" s="9"/>
      <c r="L615"/>
      <c r="M615"/>
      <c r="N615"/>
      <c r="O615"/>
    </row>
    <row r="616" spans="1:15" s="205" customFormat="1">
      <c r="A616"/>
      <c r="C616" s="6"/>
      <c r="D616" s="6"/>
      <c r="E616" s="2"/>
      <c r="F616" s="2"/>
      <c r="G616" s="2"/>
      <c r="H616" s="2"/>
      <c r="I616" s="2"/>
      <c r="J616" s="4"/>
      <c r="K616" s="9"/>
      <c r="L616"/>
      <c r="M616"/>
      <c r="N616"/>
      <c r="O616"/>
    </row>
    <row r="617" spans="1:15" s="205" customFormat="1">
      <c r="A617"/>
      <c r="C617" s="6"/>
      <c r="D617" s="6"/>
      <c r="E617" s="2"/>
      <c r="F617" s="2"/>
      <c r="G617" s="2"/>
      <c r="H617" s="2"/>
      <c r="I617" s="2"/>
      <c r="J617" s="4"/>
      <c r="K617" s="9"/>
      <c r="L617"/>
      <c r="M617"/>
      <c r="N617"/>
      <c r="O617"/>
    </row>
    <row r="618" spans="1:15" s="205" customFormat="1">
      <c r="A618"/>
      <c r="C618" s="6"/>
      <c r="D618" s="6"/>
      <c r="E618" s="2"/>
      <c r="F618" s="2"/>
      <c r="G618" s="2"/>
      <c r="H618" s="2"/>
      <c r="I618" s="2"/>
      <c r="J618" s="4"/>
      <c r="K618" s="9"/>
      <c r="L618"/>
      <c r="M618"/>
      <c r="N618"/>
      <c r="O618"/>
    </row>
    <row r="619" spans="1:15" s="205" customFormat="1">
      <c r="A619"/>
      <c r="C619" s="6"/>
      <c r="D619" s="6"/>
      <c r="E619" s="2"/>
      <c r="F619" s="2"/>
      <c r="G619" s="2"/>
      <c r="H619" s="2"/>
      <c r="I619" s="2"/>
      <c r="J619" s="4"/>
      <c r="K619" s="9"/>
      <c r="L619"/>
      <c r="M619"/>
      <c r="N619"/>
      <c r="O619"/>
    </row>
    <row r="620" spans="1:15" s="205" customFormat="1">
      <c r="A620"/>
      <c r="C620" s="6"/>
      <c r="D620" s="6"/>
      <c r="E620" s="2"/>
      <c r="F620" s="2"/>
      <c r="G620" s="2"/>
      <c r="H620" s="2"/>
      <c r="I620" s="2"/>
      <c r="J620" s="4"/>
      <c r="K620" s="9"/>
      <c r="L620"/>
      <c r="M620"/>
      <c r="N620"/>
      <c r="O620"/>
    </row>
    <row r="621" spans="1:15" s="205" customFormat="1">
      <c r="A621"/>
      <c r="C621" s="6"/>
      <c r="D621" s="6"/>
      <c r="E621" s="2"/>
      <c r="F621" s="2"/>
      <c r="G621" s="2"/>
      <c r="H621" s="2"/>
      <c r="I621" s="2"/>
      <c r="J621" s="4"/>
      <c r="K621" s="9"/>
      <c r="L621"/>
      <c r="M621"/>
      <c r="N621"/>
      <c r="O621"/>
    </row>
    <row r="622" spans="1:15" s="205" customFormat="1">
      <c r="A622"/>
      <c r="C622" s="6"/>
      <c r="D622" s="6"/>
      <c r="E622" s="2"/>
      <c r="F622" s="2"/>
      <c r="G622" s="2"/>
      <c r="H622" s="2"/>
      <c r="I622" s="2"/>
      <c r="J622" s="4"/>
      <c r="K622" s="9"/>
      <c r="L622"/>
      <c r="M622"/>
      <c r="N622"/>
      <c r="O622"/>
    </row>
    <row r="623" spans="1:15" s="205" customFormat="1">
      <c r="A623"/>
      <c r="C623" s="6"/>
      <c r="D623" s="6"/>
      <c r="E623" s="2"/>
      <c r="F623" s="2"/>
      <c r="G623" s="2"/>
      <c r="H623" s="2"/>
      <c r="I623" s="2"/>
      <c r="J623" s="4"/>
      <c r="K623" s="9"/>
      <c r="L623"/>
      <c r="M623"/>
      <c r="N623"/>
      <c r="O623"/>
    </row>
    <row r="624" spans="1:15" s="205" customFormat="1">
      <c r="A624"/>
      <c r="C624" s="6"/>
      <c r="D624" s="6"/>
      <c r="E624" s="2"/>
      <c r="F624" s="2"/>
      <c r="G624" s="2"/>
      <c r="H624" s="2"/>
      <c r="I624" s="2"/>
      <c r="J624" s="4"/>
      <c r="K624" s="9"/>
      <c r="L624"/>
      <c r="M624"/>
      <c r="N624"/>
      <c r="O624"/>
    </row>
    <row r="625" spans="1:15" s="205" customFormat="1">
      <c r="A625"/>
      <c r="C625" s="6"/>
      <c r="D625" s="6"/>
      <c r="E625" s="2"/>
      <c r="F625" s="2"/>
      <c r="G625" s="2"/>
      <c r="H625" s="2"/>
      <c r="I625" s="2"/>
      <c r="J625" s="4"/>
      <c r="K625" s="9"/>
      <c r="L625"/>
      <c r="M625"/>
      <c r="N625"/>
      <c r="O625"/>
    </row>
    <row r="626" spans="1:15" s="205" customFormat="1">
      <c r="A626"/>
      <c r="C626" s="6"/>
      <c r="D626" s="6"/>
      <c r="E626" s="2"/>
      <c r="F626" s="2"/>
      <c r="G626" s="2"/>
      <c r="H626" s="2"/>
      <c r="I626" s="2"/>
      <c r="J626" s="4"/>
      <c r="K626" s="9"/>
      <c r="L626"/>
      <c r="M626"/>
      <c r="N626"/>
      <c r="O626"/>
    </row>
    <row r="627" spans="1:15" s="205" customFormat="1">
      <c r="A627"/>
      <c r="C627" s="6"/>
      <c r="D627" s="6"/>
      <c r="E627" s="2"/>
      <c r="F627" s="2"/>
      <c r="G627" s="2"/>
      <c r="H627" s="2"/>
      <c r="I627" s="2"/>
      <c r="J627" s="4"/>
      <c r="K627" s="9"/>
      <c r="L627"/>
      <c r="M627"/>
      <c r="N627"/>
      <c r="O627"/>
    </row>
    <row r="628" spans="1:15" s="205" customFormat="1">
      <c r="A628"/>
      <c r="C628" s="6"/>
      <c r="D628" s="6"/>
      <c r="E628" s="2"/>
      <c r="F628" s="2"/>
      <c r="G628" s="2"/>
      <c r="H628" s="2"/>
      <c r="I628" s="2"/>
      <c r="J628" s="4"/>
      <c r="K628" s="9"/>
      <c r="L628"/>
      <c r="M628"/>
      <c r="N628"/>
      <c r="O628"/>
    </row>
    <row r="629" spans="1:15" s="205" customFormat="1">
      <c r="A629"/>
      <c r="C629" s="6"/>
      <c r="D629" s="6"/>
      <c r="E629" s="2"/>
      <c r="F629" s="2"/>
      <c r="G629" s="2"/>
      <c r="H629" s="2"/>
      <c r="I629" s="2"/>
      <c r="J629" s="4"/>
      <c r="K629" s="9"/>
      <c r="L629"/>
      <c r="M629"/>
      <c r="N629"/>
      <c r="O629"/>
    </row>
    <row r="630" spans="1:15" s="205" customFormat="1">
      <c r="A630"/>
      <c r="C630" s="6"/>
      <c r="D630" s="6"/>
      <c r="E630" s="2"/>
      <c r="F630" s="2"/>
      <c r="G630" s="2"/>
      <c r="H630" s="2"/>
      <c r="I630" s="2"/>
      <c r="J630" s="4"/>
      <c r="K630" s="9"/>
      <c r="L630"/>
      <c r="M630"/>
      <c r="N630"/>
      <c r="O630"/>
    </row>
    <row r="631" spans="1:15" s="205" customFormat="1">
      <c r="A631"/>
      <c r="C631" s="6"/>
      <c r="D631" s="6"/>
      <c r="E631" s="2"/>
      <c r="F631" s="2"/>
      <c r="G631" s="2"/>
      <c r="H631" s="2"/>
      <c r="I631" s="2"/>
      <c r="J631" s="4"/>
      <c r="K631" s="9"/>
      <c r="L631"/>
      <c r="M631"/>
      <c r="N631"/>
      <c r="O631"/>
    </row>
    <row r="632" spans="1:15" s="205" customFormat="1">
      <c r="A632"/>
      <c r="C632" s="6"/>
      <c r="D632" s="6"/>
      <c r="E632" s="2"/>
      <c r="F632" s="2"/>
      <c r="G632" s="2"/>
      <c r="H632" s="2"/>
      <c r="I632" s="2"/>
      <c r="J632" s="4"/>
      <c r="K632" s="9"/>
      <c r="L632"/>
      <c r="M632"/>
      <c r="N632"/>
      <c r="O632"/>
    </row>
    <row r="633" spans="1:15" s="205" customFormat="1">
      <c r="A633"/>
      <c r="C633" s="6"/>
      <c r="D633" s="6"/>
      <c r="E633" s="2"/>
      <c r="F633" s="2"/>
      <c r="G633" s="2"/>
      <c r="H633" s="2"/>
      <c r="I633" s="2"/>
      <c r="J633" s="4"/>
      <c r="K633" s="9"/>
      <c r="L633"/>
      <c r="M633"/>
      <c r="N633"/>
      <c r="O633"/>
    </row>
    <row r="634" spans="1:15" s="205" customFormat="1">
      <c r="A634"/>
      <c r="C634" s="6"/>
      <c r="D634" s="6"/>
      <c r="E634" s="2"/>
      <c r="F634" s="2"/>
      <c r="G634" s="2"/>
      <c r="H634" s="2"/>
      <c r="I634" s="2"/>
      <c r="J634" s="4"/>
      <c r="K634" s="9"/>
      <c r="L634"/>
      <c r="M634"/>
      <c r="N634"/>
      <c r="O634"/>
    </row>
    <row r="635" spans="1:15" s="205" customFormat="1">
      <c r="A635"/>
      <c r="C635" s="6"/>
      <c r="D635" s="6"/>
      <c r="E635" s="2"/>
      <c r="F635" s="2"/>
      <c r="G635" s="2"/>
      <c r="H635" s="2"/>
      <c r="I635" s="2"/>
      <c r="J635" s="4"/>
      <c r="K635" s="9"/>
      <c r="L635"/>
      <c r="M635"/>
      <c r="N635"/>
      <c r="O635"/>
    </row>
    <row r="636" spans="1:15" s="205" customFormat="1">
      <c r="A636"/>
      <c r="C636" s="6"/>
      <c r="D636" s="6"/>
      <c r="E636" s="2"/>
      <c r="F636" s="2"/>
      <c r="G636" s="2"/>
      <c r="H636" s="2"/>
      <c r="I636" s="2"/>
      <c r="J636" s="4"/>
      <c r="K636" s="9"/>
      <c r="L636"/>
      <c r="M636"/>
      <c r="N636"/>
      <c r="O636"/>
    </row>
    <row r="637" spans="1:15" s="205" customFormat="1">
      <c r="A637"/>
      <c r="C637" s="6"/>
      <c r="D637" s="6"/>
      <c r="E637" s="2"/>
      <c r="F637" s="2"/>
      <c r="G637" s="2"/>
      <c r="H637" s="2"/>
      <c r="I637" s="2"/>
      <c r="J637" s="4"/>
      <c r="K637" s="9"/>
      <c r="L637"/>
      <c r="M637"/>
      <c r="N637"/>
      <c r="O637"/>
    </row>
    <row r="638" spans="1:15" s="205" customFormat="1">
      <c r="A638"/>
      <c r="C638" s="6"/>
      <c r="D638" s="6"/>
      <c r="E638" s="2"/>
      <c r="F638" s="2"/>
      <c r="G638" s="2"/>
      <c r="H638" s="2"/>
      <c r="I638" s="2"/>
      <c r="J638" s="4"/>
      <c r="K638" s="9"/>
      <c r="L638"/>
      <c r="M638"/>
      <c r="N638"/>
      <c r="O638"/>
    </row>
    <row r="639" spans="1:15" s="205" customFormat="1">
      <c r="A639"/>
      <c r="C639" s="6"/>
      <c r="D639" s="6"/>
      <c r="E639" s="2"/>
      <c r="F639" s="2"/>
      <c r="G639" s="2"/>
      <c r="H639" s="2"/>
      <c r="I639" s="2"/>
      <c r="J639" s="4"/>
      <c r="K639" s="9"/>
      <c r="L639"/>
      <c r="M639"/>
      <c r="N639"/>
      <c r="O639"/>
    </row>
    <row r="640" spans="1:15" s="205" customFormat="1">
      <c r="A640"/>
      <c r="C640" s="6"/>
      <c r="D640" s="6"/>
      <c r="E640" s="2"/>
      <c r="F640" s="2"/>
      <c r="G640" s="2"/>
      <c r="H640" s="2"/>
      <c r="I640" s="2"/>
      <c r="J640" s="4"/>
      <c r="K640" s="9"/>
      <c r="L640"/>
      <c r="M640"/>
      <c r="N640"/>
      <c r="O640"/>
    </row>
    <row r="641" spans="1:15" s="205" customFormat="1">
      <c r="A641"/>
      <c r="C641" s="6"/>
      <c r="D641" s="6"/>
      <c r="E641" s="2"/>
      <c r="F641" s="2"/>
      <c r="G641" s="2"/>
      <c r="H641" s="2"/>
      <c r="I641" s="2"/>
      <c r="J641" s="4"/>
      <c r="K641" s="9"/>
      <c r="L641"/>
      <c r="M641"/>
      <c r="N641"/>
      <c r="O641"/>
    </row>
    <row r="642" spans="1:15" s="205" customFormat="1">
      <c r="A642"/>
      <c r="C642" s="6"/>
      <c r="D642" s="6"/>
      <c r="E642" s="2"/>
      <c r="F642" s="2"/>
      <c r="G642" s="2"/>
      <c r="H642" s="2"/>
      <c r="I642" s="2"/>
      <c r="J642" s="4"/>
      <c r="K642" s="9"/>
      <c r="L642"/>
      <c r="M642"/>
      <c r="N642"/>
      <c r="O642"/>
    </row>
    <row r="643" spans="1:15" s="205" customFormat="1">
      <c r="A643"/>
      <c r="C643" s="6"/>
      <c r="D643" s="6"/>
      <c r="E643" s="2"/>
      <c r="F643" s="2"/>
      <c r="G643" s="2"/>
      <c r="H643" s="2"/>
      <c r="I643" s="2"/>
      <c r="J643" s="4"/>
      <c r="K643" s="9"/>
      <c r="L643"/>
      <c r="M643"/>
      <c r="N643"/>
      <c r="O643"/>
    </row>
    <row r="644" spans="1:15" s="205" customFormat="1">
      <c r="A644"/>
      <c r="C644" s="6"/>
      <c r="D644" s="6"/>
      <c r="E644" s="2"/>
      <c r="F644" s="2"/>
      <c r="G644" s="2"/>
      <c r="H644" s="2"/>
      <c r="I644" s="2"/>
      <c r="J644" s="4"/>
      <c r="K644" s="9"/>
      <c r="L644"/>
      <c r="M644"/>
      <c r="N644"/>
      <c r="O644"/>
    </row>
    <row r="645" spans="1:15" s="205" customFormat="1">
      <c r="A645"/>
      <c r="C645" s="6"/>
      <c r="D645" s="6"/>
      <c r="E645" s="2"/>
      <c r="F645" s="2"/>
      <c r="G645" s="2"/>
      <c r="H645" s="2"/>
      <c r="I645" s="2"/>
      <c r="J645" s="4"/>
      <c r="K645" s="9"/>
      <c r="L645"/>
      <c r="M645"/>
      <c r="N645"/>
      <c r="O645"/>
    </row>
    <row r="646" spans="1:15" s="205" customFormat="1">
      <c r="A646"/>
      <c r="C646" s="6"/>
      <c r="D646" s="6"/>
      <c r="E646" s="2"/>
      <c r="F646" s="2"/>
      <c r="G646" s="2"/>
      <c r="H646" s="2"/>
      <c r="I646" s="2"/>
      <c r="J646" s="4"/>
      <c r="K646" s="9"/>
      <c r="L646"/>
      <c r="M646"/>
      <c r="N646"/>
      <c r="O646"/>
    </row>
    <row r="647" spans="1:15" s="205" customFormat="1">
      <c r="A647"/>
      <c r="C647" s="6"/>
      <c r="D647" s="6"/>
      <c r="E647" s="2"/>
      <c r="F647" s="2"/>
      <c r="G647" s="2"/>
      <c r="H647" s="2"/>
      <c r="I647" s="2"/>
      <c r="J647" s="4"/>
      <c r="K647" s="9"/>
      <c r="L647"/>
      <c r="M647"/>
      <c r="N647"/>
      <c r="O647"/>
    </row>
    <row r="648" spans="1:15" s="205" customFormat="1">
      <c r="A648"/>
      <c r="C648" s="6"/>
      <c r="D648" s="6"/>
      <c r="E648" s="2"/>
      <c r="F648" s="2"/>
      <c r="G648" s="2"/>
      <c r="H648" s="2"/>
      <c r="I648" s="2"/>
      <c r="J648" s="4"/>
      <c r="K648" s="9"/>
      <c r="L648"/>
      <c r="M648"/>
      <c r="N648"/>
      <c r="O648"/>
    </row>
    <row r="649" spans="1:15" s="205" customFormat="1">
      <c r="A649"/>
      <c r="C649" s="6"/>
      <c r="D649" s="6"/>
      <c r="E649" s="2"/>
      <c r="F649" s="2"/>
      <c r="G649" s="2"/>
      <c r="H649" s="2"/>
      <c r="I649" s="2"/>
      <c r="J649" s="4"/>
      <c r="K649" s="9"/>
      <c r="L649"/>
      <c r="M649"/>
      <c r="N649"/>
      <c r="O649"/>
    </row>
    <row r="650" spans="1:15" s="205" customFormat="1">
      <c r="A650"/>
      <c r="C650" s="6"/>
      <c r="D650" s="6"/>
      <c r="E650" s="2"/>
      <c r="F650" s="2"/>
      <c r="G650" s="2"/>
      <c r="H650" s="2"/>
      <c r="I650" s="2"/>
      <c r="J650" s="4"/>
      <c r="K650" s="9"/>
      <c r="L650"/>
      <c r="M650"/>
      <c r="N650"/>
      <c r="O650"/>
    </row>
    <row r="651" spans="1:15" s="205" customFormat="1">
      <c r="A651"/>
      <c r="C651" s="6"/>
      <c r="D651" s="6"/>
      <c r="E651" s="2"/>
      <c r="F651" s="2"/>
      <c r="G651" s="2"/>
      <c r="H651" s="2"/>
      <c r="I651" s="2"/>
      <c r="J651" s="4"/>
      <c r="K651" s="9"/>
      <c r="L651"/>
      <c r="M651"/>
      <c r="N651"/>
      <c r="O651"/>
    </row>
    <row r="652" spans="1:15" s="205" customFormat="1">
      <c r="A652"/>
      <c r="C652" s="6"/>
      <c r="D652" s="6"/>
      <c r="E652" s="2"/>
      <c r="F652" s="2"/>
      <c r="G652" s="2"/>
      <c r="H652" s="2"/>
      <c r="I652" s="2"/>
      <c r="J652" s="4"/>
      <c r="K652" s="9"/>
      <c r="L652"/>
      <c r="M652"/>
      <c r="N652"/>
      <c r="O652"/>
    </row>
    <row r="653" spans="1:15" s="205" customFormat="1">
      <c r="A653"/>
      <c r="C653" s="6"/>
      <c r="D653" s="6"/>
      <c r="E653" s="2"/>
      <c r="F653" s="2"/>
      <c r="G653" s="2"/>
      <c r="H653" s="2"/>
      <c r="I653" s="2"/>
      <c r="J653" s="4"/>
      <c r="K653" s="9"/>
      <c r="L653"/>
      <c r="M653"/>
      <c r="N653"/>
      <c r="O653"/>
    </row>
    <row r="654" spans="1:15" s="205" customFormat="1">
      <c r="A654"/>
      <c r="C654" s="6"/>
      <c r="D654" s="6"/>
      <c r="E654" s="2"/>
      <c r="F654" s="2"/>
      <c r="G654" s="2"/>
      <c r="H654" s="2"/>
      <c r="I654" s="2"/>
      <c r="J654" s="4"/>
      <c r="K654" s="9"/>
      <c r="L654"/>
      <c r="M654"/>
      <c r="N654"/>
      <c r="O654"/>
    </row>
    <row r="655" spans="1:15" s="205" customFormat="1">
      <c r="A655"/>
      <c r="C655" s="6"/>
      <c r="D655" s="6"/>
      <c r="E655" s="2"/>
      <c r="F655" s="2"/>
      <c r="G655" s="2"/>
      <c r="H655" s="2"/>
      <c r="I655" s="2"/>
      <c r="J655" s="4"/>
      <c r="K655" s="9"/>
      <c r="L655"/>
      <c r="M655"/>
      <c r="N655"/>
      <c r="O655"/>
    </row>
    <row r="656" spans="1:15" s="205" customFormat="1">
      <c r="A656"/>
      <c r="C656" s="6"/>
      <c r="D656" s="6"/>
      <c r="E656" s="2"/>
      <c r="F656" s="2"/>
      <c r="G656" s="2"/>
      <c r="H656" s="2"/>
      <c r="I656" s="2"/>
      <c r="J656" s="4"/>
      <c r="K656" s="9"/>
      <c r="L656"/>
      <c r="M656"/>
      <c r="N656"/>
      <c r="O656"/>
    </row>
    <row r="657" spans="1:15" s="205" customFormat="1">
      <c r="A657"/>
      <c r="C657" s="6"/>
      <c r="D657" s="6"/>
      <c r="E657" s="2"/>
      <c r="F657" s="2"/>
      <c r="G657" s="2"/>
      <c r="H657" s="2"/>
      <c r="I657" s="2"/>
      <c r="J657" s="4"/>
      <c r="K657" s="9"/>
      <c r="L657"/>
      <c r="M657"/>
      <c r="N657"/>
      <c r="O657"/>
    </row>
    <row r="658" spans="1:15" s="205" customFormat="1">
      <c r="A658"/>
      <c r="C658" s="6"/>
      <c r="D658" s="6"/>
      <c r="E658" s="2"/>
      <c r="F658" s="2"/>
      <c r="G658" s="2"/>
      <c r="H658" s="2"/>
      <c r="I658" s="2"/>
      <c r="J658" s="4"/>
      <c r="K658" s="9"/>
      <c r="L658"/>
      <c r="M658"/>
      <c r="N658"/>
      <c r="O658"/>
    </row>
    <row r="659" spans="1:15" s="205" customFormat="1">
      <c r="A659"/>
      <c r="C659" s="6"/>
      <c r="D659" s="6"/>
      <c r="E659" s="2"/>
      <c r="F659" s="2"/>
      <c r="G659" s="2"/>
      <c r="H659" s="2"/>
      <c r="I659" s="2"/>
      <c r="J659" s="4"/>
      <c r="K659" s="9"/>
      <c r="L659"/>
      <c r="M659"/>
      <c r="N659"/>
      <c r="O659"/>
    </row>
    <row r="660" spans="1:15" s="205" customFormat="1">
      <c r="A660"/>
      <c r="C660" s="6"/>
      <c r="D660" s="6"/>
      <c r="E660" s="2"/>
      <c r="F660" s="2"/>
      <c r="G660" s="2"/>
      <c r="H660" s="2"/>
      <c r="I660" s="2"/>
      <c r="J660" s="4"/>
      <c r="K660" s="9"/>
      <c r="L660"/>
      <c r="M660"/>
      <c r="N660"/>
      <c r="O660"/>
    </row>
    <row r="661" spans="1:15" s="205" customFormat="1">
      <c r="A661"/>
      <c r="C661" s="6"/>
      <c r="D661" s="6"/>
      <c r="E661" s="2"/>
      <c r="F661" s="2"/>
      <c r="G661" s="2"/>
      <c r="H661" s="2"/>
      <c r="I661" s="2"/>
      <c r="J661" s="4"/>
      <c r="K661" s="9"/>
      <c r="L661"/>
      <c r="M661"/>
      <c r="N661"/>
      <c r="O661"/>
    </row>
    <row r="662" spans="1:15" s="205" customFormat="1">
      <c r="A662"/>
      <c r="C662" s="6"/>
      <c r="D662" s="6"/>
      <c r="E662" s="2"/>
      <c r="F662" s="2"/>
      <c r="G662" s="2"/>
      <c r="H662" s="2"/>
      <c r="I662" s="2"/>
      <c r="J662" s="4"/>
      <c r="K662" s="9"/>
      <c r="L662"/>
      <c r="M662"/>
      <c r="N662"/>
      <c r="O662"/>
    </row>
    <row r="663" spans="1:15" s="205" customFormat="1">
      <c r="A663"/>
      <c r="C663" s="6"/>
      <c r="D663" s="6"/>
      <c r="E663" s="2"/>
      <c r="F663" s="2"/>
      <c r="G663" s="2"/>
      <c r="H663" s="2"/>
      <c r="I663" s="2"/>
      <c r="J663" s="4"/>
      <c r="K663" s="9"/>
      <c r="L663"/>
      <c r="M663"/>
      <c r="N663"/>
      <c r="O663"/>
    </row>
    <row r="664" spans="1:15" s="205" customFormat="1">
      <c r="A664"/>
      <c r="C664" s="6"/>
      <c r="D664" s="6"/>
      <c r="E664" s="2"/>
      <c r="F664" s="2"/>
      <c r="G664" s="2"/>
      <c r="H664" s="2"/>
      <c r="I664" s="2"/>
      <c r="J664" s="4"/>
      <c r="K664" s="9"/>
      <c r="L664"/>
      <c r="M664"/>
      <c r="N664"/>
      <c r="O664"/>
    </row>
    <row r="665" spans="1:15" s="205" customFormat="1">
      <c r="A665"/>
      <c r="C665" s="6"/>
      <c r="D665" s="6"/>
      <c r="E665" s="2"/>
      <c r="F665" s="2"/>
      <c r="G665" s="2"/>
      <c r="H665" s="2"/>
      <c r="I665" s="2"/>
      <c r="J665" s="4"/>
      <c r="K665" s="9"/>
      <c r="L665"/>
      <c r="M665"/>
      <c r="N665"/>
      <c r="O665"/>
    </row>
    <row r="666" spans="1:15" s="205" customFormat="1">
      <c r="A666"/>
      <c r="C666" s="6"/>
      <c r="D666" s="6"/>
      <c r="E666" s="2"/>
      <c r="F666" s="2"/>
      <c r="G666" s="2"/>
      <c r="H666" s="2"/>
      <c r="I666" s="2"/>
      <c r="J666" s="4"/>
      <c r="K666" s="9"/>
      <c r="L666"/>
      <c r="M666"/>
      <c r="N666"/>
      <c r="O666"/>
    </row>
    <row r="667" spans="1:15" s="205" customFormat="1">
      <c r="A667"/>
      <c r="C667" s="6"/>
      <c r="D667" s="6"/>
      <c r="E667" s="2"/>
      <c r="F667" s="2"/>
      <c r="G667" s="2"/>
      <c r="H667" s="2"/>
      <c r="I667" s="2"/>
      <c r="J667" s="4"/>
      <c r="K667" s="9"/>
      <c r="L667"/>
      <c r="M667"/>
      <c r="N667"/>
      <c r="O667"/>
    </row>
    <row r="668" spans="1:15" s="205" customFormat="1">
      <c r="A668"/>
      <c r="C668" s="6"/>
      <c r="D668" s="6"/>
      <c r="E668" s="2"/>
      <c r="F668" s="2"/>
      <c r="G668" s="2"/>
      <c r="H668" s="2"/>
      <c r="I668" s="2"/>
      <c r="J668" s="4"/>
      <c r="K668" s="9"/>
      <c r="L668"/>
      <c r="M668"/>
      <c r="N668"/>
      <c r="O668"/>
    </row>
    <row r="669" spans="1:15" s="205" customFormat="1">
      <c r="A669"/>
      <c r="C669" s="6"/>
      <c r="D669" s="6"/>
      <c r="E669" s="2"/>
      <c r="F669" s="2"/>
      <c r="G669" s="2"/>
      <c r="H669" s="2"/>
      <c r="I669" s="2"/>
      <c r="J669" s="4"/>
      <c r="K669" s="9"/>
      <c r="L669"/>
      <c r="M669"/>
      <c r="N669"/>
      <c r="O669"/>
    </row>
    <row r="670" spans="1:15" s="205" customFormat="1">
      <c r="A670"/>
      <c r="C670" s="6"/>
      <c r="D670" s="6"/>
      <c r="E670" s="2"/>
      <c r="F670" s="2"/>
      <c r="G670" s="2"/>
      <c r="H670" s="2"/>
      <c r="I670" s="2"/>
      <c r="J670" s="4"/>
      <c r="K670" s="9"/>
      <c r="L670"/>
      <c r="M670"/>
      <c r="N670"/>
      <c r="O670"/>
    </row>
    <row r="671" spans="1:15" s="205" customFormat="1">
      <c r="A671"/>
      <c r="C671" s="6"/>
      <c r="D671" s="6"/>
      <c r="E671" s="2"/>
      <c r="F671" s="2"/>
      <c r="G671" s="2"/>
      <c r="H671" s="2"/>
      <c r="I671" s="2"/>
      <c r="J671" s="4"/>
      <c r="K671" s="9"/>
      <c r="L671"/>
      <c r="M671"/>
      <c r="N671"/>
      <c r="O671"/>
    </row>
    <row r="672" spans="1:15" s="205" customFormat="1">
      <c r="A672"/>
      <c r="C672" s="6"/>
      <c r="D672" s="6"/>
      <c r="E672" s="2"/>
      <c r="F672" s="2"/>
      <c r="G672" s="2"/>
      <c r="H672" s="2"/>
      <c r="I672" s="2"/>
      <c r="J672" s="4"/>
      <c r="K672" s="9"/>
      <c r="L672"/>
      <c r="M672"/>
      <c r="N672"/>
      <c r="O672"/>
    </row>
    <row r="673" spans="1:15" s="205" customFormat="1">
      <c r="A673"/>
      <c r="C673" s="6"/>
      <c r="D673" s="6"/>
      <c r="E673" s="2"/>
      <c r="F673" s="2"/>
      <c r="G673" s="2"/>
      <c r="H673" s="2"/>
      <c r="I673" s="2"/>
      <c r="J673" s="4"/>
      <c r="K673" s="9"/>
      <c r="L673"/>
      <c r="M673"/>
      <c r="N673"/>
      <c r="O673"/>
    </row>
    <row r="674" spans="1:15" s="205" customFormat="1">
      <c r="A674"/>
      <c r="C674" s="6"/>
      <c r="D674" s="6"/>
      <c r="E674" s="2"/>
      <c r="F674" s="2"/>
      <c r="G674" s="2"/>
      <c r="H674" s="2"/>
      <c r="I674" s="2"/>
      <c r="J674" s="4"/>
      <c r="K674" s="9"/>
      <c r="L674"/>
      <c r="M674"/>
      <c r="N674"/>
      <c r="O674"/>
    </row>
    <row r="675" spans="1:15" s="205" customFormat="1">
      <c r="A675"/>
      <c r="C675" s="6"/>
      <c r="D675" s="6"/>
      <c r="E675" s="2"/>
      <c r="F675" s="2"/>
      <c r="G675" s="2"/>
      <c r="H675" s="2"/>
      <c r="I675" s="2"/>
      <c r="J675" s="4"/>
      <c r="K675" s="9"/>
      <c r="L675"/>
      <c r="M675"/>
      <c r="N675"/>
      <c r="O675"/>
    </row>
    <row r="676" spans="1:15" s="205" customFormat="1">
      <c r="A676"/>
      <c r="C676" s="6"/>
      <c r="D676" s="6"/>
      <c r="E676" s="2"/>
      <c r="F676" s="2"/>
      <c r="G676" s="2"/>
      <c r="H676" s="2"/>
      <c r="I676" s="2"/>
      <c r="J676" s="4"/>
      <c r="K676" s="9"/>
      <c r="L676"/>
      <c r="M676"/>
      <c r="N676"/>
      <c r="O676"/>
    </row>
    <row r="677" spans="1:15" s="205" customFormat="1">
      <c r="A677"/>
      <c r="C677" s="6"/>
      <c r="D677" s="6"/>
      <c r="E677" s="2"/>
      <c r="F677" s="2"/>
      <c r="G677" s="2"/>
      <c r="H677" s="2"/>
      <c r="I677" s="2"/>
      <c r="J677" s="4"/>
      <c r="K677" s="9"/>
      <c r="L677"/>
      <c r="M677"/>
      <c r="N677"/>
      <c r="O677"/>
    </row>
    <row r="678" spans="1:15" s="205" customFormat="1">
      <c r="A678"/>
      <c r="C678" s="6"/>
      <c r="D678" s="6"/>
      <c r="E678" s="2"/>
      <c r="F678" s="2"/>
      <c r="G678" s="2"/>
      <c r="H678" s="2"/>
      <c r="I678" s="2"/>
      <c r="J678" s="4"/>
      <c r="K678" s="9"/>
      <c r="L678"/>
      <c r="M678"/>
      <c r="N678"/>
      <c r="O678"/>
    </row>
    <row r="679" spans="1:15" s="205" customFormat="1">
      <c r="A679"/>
      <c r="C679" s="6"/>
      <c r="D679" s="6"/>
      <c r="E679" s="2"/>
      <c r="F679" s="2"/>
      <c r="G679" s="2"/>
      <c r="H679" s="2"/>
      <c r="I679" s="2"/>
      <c r="J679" s="4"/>
      <c r="K679" s="9"/>
      <c r="L679"/>
      <c r="M679"/>
      <c r="N679"/>
      <c r="O679"/>
    </row>
    <row r="680" spans="1:15" s="205" customFormat="1">
      <c r="A680"/>
      <c r="C680" s="6"/>
      <c r="D680" s="6"/>
      <c r="E680" s="2"/>
      <c r="F680" s="2"/>
      <c r="G680" s="2"/>
      <c r="H680" s="2"/>
      <c r="I680" s="2"/>
      <c r="J680" s="4"/>
      <c r="K680" s="9"/>
      <c r="L680"/>
      <c r="M680"/>
      <c r="N680"/>
      <c r="O680"/>
    </row>
    <row r="681" spans="1:15" s="205" customFormat="1">
      <c r="A681"/>
      <c r="C681" s="6"/>
      <c r="D681" s="6"/>
      <c r="E681" s="2"/>
      <c r="F681" s="2"/>
      <c r="G681" s="2"/>
      <c r="H681" s="2"/>
      <c r="I681" s="2"/>
      <c r="J681" s="4"/>
      <c r="K681" s="9"/>
      <c r="L681"/>
      <c r="M681"/>
      <c r="N681"/>
      <c r="O681"/>
    </row>
    <row r="682" spans="1:15" s="205" customFormat="1">
      <c r="A682"/>
      <c r="C682" s="6"/>
      <c r="D682" s="6"/>
      <c r="E682" s="2"/>
      <c r="F682" s="2"/>
      <c r="G682" s="2"/>
      <c r="H682" s="2"/>
      <c r="I682" s="2"/>
      <c r="J682" s="4"/>
      <c r="K682" s="9"/>
      <c r="L682"/>
      <c r="M682"/>
      <c r="N682"/>
      <c r="O682"/>
    </row>
    <row r="683" spans="1:15" s="205" customFormat="1">
      <c r="A683"/>
      <c r="C683" s="6"/>
      <c r="D683" s="6"/>
      <c r="E683" s="2"/>
      <c r="F683" s="2"/>
      <c r="G683" s="2"/>
      <c r="H683" s="2"/>
      <c r="I683" s="2"/>
      <c r="J683" s="4"/>
      <c r="K683" s="9"/>
      <c r="L683"/>
      <c r="M683"/>
      <c r="N683"/>
      <c r="O683"/>
    </row>
    <row r="684" spans="1:15" s="205" customFormat="1">
      <c r="A684"/>
      <c r="C684" s="6"/>
      <c r="D684" s="6"/>
      <c r="E684" s="2"/>
      <c r="F684" s="2"/>
      <c r="G684" s="2"/>
      <c r="H684" s="2"/>
      <c r="I684" s="2"/>
      <c r="J684" s="4"/>
      <c r="K684" s="9"/>
      <c r="L684"/>
      <c r="M684"/>
      <c r="N684"/>
      <c r="O684"/>
    </row>
    <row r="685" spans="1:15" s="205" customFormat="1">
      <c r="A685"/>
      <c r="C685" s="6"/>
      <c r="D685" s="6"/>
      <c r="E685" s="2"/>
      <c r="F685" s="2"/>
      <c r="G685" s="2"/>
      <c r="H685" s="2"/>
      <c r="I685" s="2"/>
      <c r="J685" s="4"/>
      <c r="K685" s="9"/>
      <c r="L685"/>
      <c r="M685"/>
      <c r="N685"/>
      <c r="O685"/>
    </row>
    <row r="686" spans="1:15" s="205" customFormat="1">
      <c r="A686"/>
      <c r="C686" s="6"/>
      <c r="D686" s="6"/>
      <c r="E686" s="2"/>
      <c r="F686" s="2"/>
      <c r="G686" s="2"/>
      <c r="H686" s="2"/>
      <c r="I686" s="2"/>
      <c r="J686" s="4"/>
      <c r="K686" s="9"/>
      <c r="L686"/>
      <c r="M686"/>
      <c r="N686"/>
      <c r="O686"/>
    </row>
    <row r="687" spans="1:15" s="205" customFormat="1">
      <c r="A687"/>
      <c r="C687" s="6"/>
      <c r="D687" s="6"/>
      <c r="E687" s="2"/>
      <c r="F687" s="2"/>
      <c r="G687" s="2"/>
      <c r="H687" s="2"/>
      <c r="I687" s="2"/>
      <c r="J687" s="4"/>
      <c r="K687" s="9"/>
      <c r="L687"/>
      <c r="M687"/>
      <c r="N687"/>
      <c r="O687"/>
    </row>
    <row r="688" spans="1:15" s="205" customFormat="1">
      <c r="A688"/>
      <c r="C688" s="6"/>
      <c r="D688" s="6"/>
      <c r="E688" s="2"/>
      <c r="F688" s="2"/>
      <c r="G688" s="2"/>
      <c r="H688" s="2"/>
      <c r="I688" s="2"/>
      <c r="J688" s="4"/>
      <c r="K688" s="9"/>
      <c r="L688"/>
      <c r="M688"/>
      <c r="N688"/>
      <c r="O688"/>
    </row>
    <row r="689" spans="1:15" s="205" customFormat="1">
      <c r="A689"/>
      <c r="C689" s="6"/>
      <c r="D689" s="6"/>
      <c r="E689" s="2"/>
      <c r="F689" s="2"/>
      <c r="G689" s="2"/>
      <c r="H689" s="2"/>
      <c r="I689" s="2"/>
      <c r="J689" s="4"/>
      <c r="K689" s="9"/>
      <c r="L689"/>
      <c r="M689"/>
      <c r="N689"/>
      <c r="O689"/>
    </row>
    <row r="690" spans="1:15" s="205" customFormat="1">
      <c r="A690"/>
      <c r="C690" s="6"/>
      <c r="D690" s="6"/>
      <c r="E690" s="2"/>
      <c r="F690" s="2"/>
      <c r="G690" s="2"/>
      <c r="H690" s="2"/>
      <c r="I690" s="2"/>
      <c r="J690" s="4"/>
      <c r="K690" s="9"/>
      <c r="L690"/>
      <c r="M690"/>
      <c r="N690"/>
      <c r="O690"/>
    </row>
    <row r="691" spans="1:15" s="205" customFormat="1">
      <c r="A691"/>
      <c r="C691" s="6"/>
      <c r="D691" s="6"/>
      <c r="E691" s="2"/>
      <c r="F691" s="2"/>
      <c r="G691" s="2"/>
      <c r="H691" s="2"/>
      <c r="I691" s="2"/>
      <c r="J691" s="4"/>
      <c r="K691" s="9"/>
      <c r="L691"/>
      <c r="M691"/>
      <c r="N691"/>
      <c r="O691"/>
    </row>
    <row r="692" spans="1:15" s="205" customFormat="1">
      <c r="A692"/>
      <c r="C692" s="6"/>
      <c r="D692" s="6"/>
      <c r="E692" s="2"/>
      <c r="F692" s="2"/>
      <c r="G692" s="2"/>
      <c r="H692" s="2"/>
      <c r="I692" s="2"/>
      <c r="J692" s="4"/>
      <c r="K692" s="9"/>
      <c r="L692"/>
      <c r="M692"/>
      <c r="N692"/>
      <c r="O692"/>
    </row>
    <row r="693" spans="1:15" s="205" customFormat="1">
      <c r="A693"/>
      <c r="C693" s="6"/>
      <c r="D693" s="6"/>
      <c r="E693" s="2"/>
      <c r="F693" s="2"/>
      <c r="G693" s="2"/>
      <c r="H693" s="2"/>
      <c r="I693" s="2"/>
      <c r="J693" s="4"/>
      <c r="K693" s="9"/>
      <c r="L693"/>
      <c r="M693"/>
      <c r="N693"/>
      <c r="O693"/>
    </row>
    <row r="694" spans="1:15" s="205" customFormat="1">
      <c r="A694"/>
      <c r="C694" s="6"/>
      <c r="D694" s="6"/>
      <c r="E694" s="2"/>
      <c r="F694" s="2"/>
      <c r="G694" s="2"/>
      <c r="H694" s="2"/>
      <c r="I694" s="2"/>
      <c r="J694" s="4"/>
      <c r="K694" s="9"/>
      <c r="L694"/>
      <c r="M694"/>
      <c r="N694"/>
      <c r="O694"/>
    </row>
    <row r="695" spans="1:15" s="205" customFormat="1">
      <c r="A695"/>
      <c r="C695" s="6"/>
      <c r="D695" s="6"/>
      <c r="E695" s="2"/>
      <c r="F695" s="2"/>
      <c r="G695" s="2"/>
      <c r="H695" s="2"/>
      <c r="I695" s="2"/>
      <c r="J695" s="4"/>
      <c r="K695" s="9"/>
      <c r="L695"/>
      <c r="M695"/>
      <c r="N695"/>
      <c r="O695"/>
    </row>
    <row r="696" spans="1:15" s="205" customFormat="1">
      <c r="A696"/>
      <c r="C696" s="6"/>
      <c r="D696" s="6"/>
      <c r="E696" s="2"/>
      <c r="F696" s="2"/>
      <c r="G696" s="2"/>
      <c r="H696" s="2"/>
      <c r="I696" s="2"/>
      <c r="J696" s="4"/>
      <c r="K696" s="9"/>
      <c r="L696"/>
      <c r="M696"/>
      <c r="N696"/>
      <c r="O696"/>
    </row>
    <row r="697" spans="1:15" s="205" customFormat="1">
      <c r="A697"/>
      <c r="C697" s="6"/>
      <c r="D697" s="6"/>
      <c r="E697" s="2"/>
      <c r="F697" s="2"/>
      <c r="G697" s="2"/>
      <c r="H697" s="2"/>
      <c r="I697" s="2"/>
      <c r="J697" s="4"/>
      <c r="K697" s="9"/>
      <c r="L697"/>
      <c r="M697"/>
      <c r="N697"/>
      <c r="O697"/>
    </row>
    <row r="698" spans="1:15" s="205" customFormat="1">
      <c r="A698"/>
      <c r="C698" s="6"/>
      <c r="D698" s="6"/>
      <c r="E698" s="2"/>
      <c r="F698" s="2"/>
      <c r="G698" s="2"/>
      <c r="H698" s="2"/>
      <c r="I698" s="2"/>
      <c r="J698" s="4"/>
      <c r="K698" s="9"/>
      <c r="L698"/>
      <c r="M698"/>
      <c r="N698"/>
      <c r="O698"/>
    </row>
    <row r="699" spans="1:15" s="205" customFormat="1">
      <c r="A699"/>
      <c r="C699" s="6"/>
      <c r="D699" s="6"/>
      <c r="E699" s="2"/>
      <c r="F699" s="2"/>
      <c r="G699" s="2"/>
      <c r="H699" s="2"/>
      <c r="I699" s="2"/>
      <c r="J699" s="4"/>
      <c r="K699" s="9"/>
      <c r="L699"/>
      <c r="M699"/>
      <c r="N699"/>
      <c r="O699"/>
    </row>
    <row r="700" spans="1:15" s="205" customFormat="1">
      <c r="A700"/>
      <c r="C700" s="6"/>
      <c r="D700" s="6"/>
      <c r="E700" s="2"/>
      <c r="F700" s="2"/>
      <c r="G700" s="2"/>
      <c r="H700" s="2"/>
      <c r="I700" s="2"/>
      <c r="J700" s="4"/>
      <c r="K700" s="9"/>
      <c r="L700"/>
      <c r="M700"/>
      <c r="N700"/>
      <c r="O700"/>
    </row>
    <row r="701" spans="1:15" s="205" customFormat="1">
      <c r="A701"/>
      <c r="C701" s="6"/>
      <c r="D701" s="6"/>
      <c r="E701" s="2"/>
      <c r="F701" s="2"/>
      <c r="G701" s="2"/>
      <c r="H701" s="2"/>
      <c r="I701" s="2"/>
      <c r="J701" s="4"/>
      <c r="K701" s="9"/>
      <c r="L701"/>
      <c r="M701"/>
      <c r="N701"/>
      <c r="O701"/>
    </row>
    <row r="702" spans="1:15" s="205" customFormat="1">
      <c r="A702"/>
      <c r="C702" s="6"/>
      <c r="D702" s="6"/>
      <c r="E702" s="2"/>
      <c r="F702" s="2"/>
      <c r="G702" s="2"/>
      <c r="H702" s="2"/>
      <c r="I702" s="2"/>
      <c r="J702" s="4"/>
      <c r="K702" s="9"/>
      <c r="L702"/>
      <c r="M702"/>
      <c r="N702"/>
      <c r="O702"/>
    </row>
    <row r="703" spans="1:15" s="205" customFormat="1">
      <c r="A703"/>
      <c r="C703" s="6"/>
      <c r="D703" s="6"/>
      <c r="E703" s="2"/>
      <c r="F703" s="2"/>
      <c r="G703" s="2"/>
      <c r="H703" s="2"/>
      <c r="I703" s="2"/>
      <c r="J703" s="4"/>
      <c r="K703" s="9"/>
      <c r="L703"/>
      <c r="M703"/>
      <c r="N703"/>
      <c r="O703"/>
    </row>
    <row r="704" spans="1:15" s="205" customFormat="1">
      <c r="A704"/>
      <c r="C704" s="6"/>
      <c r="D704" s="6"/>
      <c r="E704" s="2"/>
      <c r="F704" s="2"/>
      <c r="G704" s="2"/>
      <c r="H704" s="2"/>
      <c r="I704" s="2"/>
      <c r="J704" s="4"/>
      <c r="K704" s="9"/>
      <c r="L704"/>
      <c r="M704"/>
      <c r="N704"/>
      <c r="O704"/>
    </row>
    <row r="705" spans="1:15" s="205" customFormat="1">
      <c r="A705"/>
      <c r="C705" s="6"/>
      <c r="D705" s="6"/>
      <c r="E705" s="2"/>
      <c r="F705" s="2"/>
      <c r="G705" s="2"/>
      <c r="H705" s="2"/>
      <c r="I705" s="2"/>
      <c r="J705" s="4"/>
      <c r="K705" s="9"/>
      <c r="L705"/>
      <c r="M705"/>
      <c r="N705"/>
      <c r="O705"/>
    </row>
    <row r="706" spans="1:15" s="205" customFormat="1">
      <c r="A706"/>
      <c r="C706" s="6"/>
      <c r="D706" s="6"/>
      <c r="E706" s="2"/>
      <c r="F706" s="2"/>
      <c r="G706" s="2"/>
      <c r="H706" s="2"/>
      <c r="I706" s="2"/>
      <c r="J706" s="4"/>
      <c r="K706" s="9"/>
      <c r="L706"/>
      <c r="M706"/>
      <c r="N706"/>
      <c r="O706"/>
    </row>
    <row r="707" spans="1:15" s="205" customFormat="1">
      <c r="A707"/>
      <c r="C707" s="6"/>
      <c r="D707" s="6"/>
      <c r="E707" s="2"/>
      <c r="F707" s="2"/>
      <c r="G707" s="2"/>
      <c r="H707" s="2"/>
      <c r="I707" s="2"/>
      <c r="J707" s="4"/>
      <c r="K707" s="9"/>
      <c r="L707"/>
      <c r="M707"/>
      <c r="N707"/>
      <c r="O707"/>
    </row>
    <row r="708" spans="1:15" s="205" customFormat="1">
      <c r="A708"/>
      <c r="C708" s="6"/>
      <c r="D708" s="6"/>
      <c r="E708" s="2"/>
      <c r="F708" s="2"/>
      <c r="G708" s="2"/>
      <c r="H708" s="2"/>
      <c r="I708" s="2"/>
      <c r="J708" s="4"/>
      <c r="K708" s="9"/>
      <c r="L708"/>
      <c r="M708"/>
      <c r="N708"/>
      <c r="O708"/>
    </row>
    <row r="709" spans="1:15" s="205" customFormat="1">
      <c r="A709"/>
      <c r="C709" s="6"/>
      <c r="D709" s="6"/>
      <c r="E709" s="2"/>
      <c r="F709" s="2"/>
      <c r="G709" s="2"/>
      <c r="H709" s="2"/>
      <c r="I709" s="2"/>
      <c r="J709" s="4"/>
      <c r="K709" s="9"/>
      <c r="L709"/>
      <c r="M709"/>
      <c r="N709"/>
      <c r="O709"/>
    </row>
    <row r="710" spans="1:15" s="205" customFormat="1">
      <c r="A710"/>
      <c r="C710" s="6"/>
      <c r="D710" s="6"/>
      <c r="E710" s="2"/>
      <c r="F710" s="2"/>
      <c r="G710" s="2"/>
      <c r="H710" s="2"/>
      <c r="I710" s="2"/>
      <c r="J710" s="4"/>
      <c r="K710" s="9"/>
      <c r="L710"/>
      <c r="M710"/>
      <c r="N710"/>
      <c r="O710"/>
    </row>
    <row r="711" spans="1:15" s="205" customFormat="1">
      <c r="A711"/>
      <c r="C711" s="6"/>
      <c r="D711" s="6"/>
      <c r="E711" s="2"/>
      <c r="F711" s="2"/>
      <c r="G711" s="2"/>
      <c r="H711" s="2"/>
      <c r="I711" s="2"/>
      <c r="J711" s="4"/>
      <c r="K711" s="9"/>
      <c r="L711"/>
      <c r="M711"/>
      <c r="N711"/>
      <c r="O711"/>
    </row>
    <row r="712" spans="1:15" s="205" customFormat="1">
      <c r="A712"/>
      <c r="C712" s="6"/>
      <c r="D712" s="6"/>
      <c r="E712" s="2"/>
      <c r="F712" s="2"/>
      <c r="G712" s="2"/>
      <c r="H712" s="2"/>
      <c r="I712" s="2"/>
      <c r="J712" s="4"/>
      <c r="K712" s="9"/>
      <c r="L712"/>
      <c r="M712"/>
      <c r="N712"/>
      <c r="O712"/>
    </row>
    <row r="713" spans="1:15" s="205" customFormat="1">
      <c r="A713"/>
      <c r="C713" s="6"/>
      <c r="D713" s="6"/>
      <c r="E713" s="2"/>
      <c r="F713" s="2"/>
      <c r="G713" s="2"/>
      <c r="H713" s="2"/>
      <c r="I713" s="2"/>
      <c r="J713" s="4"/>
      <c r="K713" s="9"/>
      <c r="L713"/>
      <c r="M713"/>
      <c r="N713"/>
      <c r="O713"/>
    </row>
    <row r="714" spans="1:15" s="205" customFormat="1">
      <c r="A714"/>
      <c r="C714" s="6"/>
      <c r="D714" s="6"/>
      <c r="E714" s="2"/>
      <c r="F714" s="2"/>
      <c r="G714" s="2"/>
      <c r="H714" s="2"/>
      <c r="I714" s="2"/>
      <c r="J714" s="4"/>
      <c r="K714" s="9"/>
      <c r="L714"/>
      <c r="M714"/>
      <c r="N714"/>
      <c r="O714"/>
    </row>
    <row r="715" spans="1:15" s="205" customFormat="1">
      <c r="A715"/>
      <c r="C715" s="6"/>
      <c r="D715" s="6"/>
      <c r="E715" s="2"/>
      <c r="F715" s="2"/>
      <c r="G715" s="2"/>
      <c r="H715" s="2"/>
      <c r="I715" s="2"/>
      <c r="J715" s="4"/>
      <c r="K715" s="9"/>
      <c r="L715"/>
      <c r="M715"/>
      <c r="N715"/>
      <c r="O715"/>
    </row>
    <row r="716" spans="1:15" s="205" customFormat="1">
      <c r="A716"/>
      <c r="C716" s="6"/>
      <c r="D716" s="6"/>
      <c r="E716" s="2"/>
      <c r="F716" s="2"/>
      <c r="G716" s="2"/>
      <c r="H716" s="2"/>
      <c r="I716" s="2"/>
      <c r="J716" s="4"/>
      <c r="K716" s="9"/>
      <c r="L716"/>
      <c r="M716"/>
      <c r="N716"/>
      <c r="O716"/>
    </row>
    <row r="717" spans="1:15" s="205" customFormat="1">
      <c r="A717"/>
      <c r="C717" s="6"/>
      <c r="D717" s="6"/>
      <c r="E717" s="2"/>
      <c r="F717" s="2"/>
      <c r="G717" s="2"/>
      <c r="H717" s="2"/>
      <c r="I717" s="2"/>
      <c r="J717" s="4"/>
      <c r="K717" s="9"/>
      <c r="L717"/>
      <c r="M717"/>
      <c r="N717"/>
      <c r="O717"/>
    </row>
    <row r="718" spans="1:15" s="205" customFormat="1">
      <c r="A718"/>
      <c r="C718" s="6"/>
      <c r="D718" s="6"/>
      <c r="E718" s="2"/>
      <c r="F718" s="2"/>
      <c r="G718" s="2"/>
      <c r="H718" s="2"/>
      <c r="I718" s="2"/>
      <c r="J718" s="4"/>
      <c r="K718" s="9"/>
      <c r="L718"/>
      <c r="M718"/>
      <c r="N718"/>
      <c r="O718"/>
    </row>
    <row r="719" spans="1:15" s="205" customFormat="1">
      <c r="A719"/>
      <c r="C719" s="6"/>
      <c r="D719" s="6"/>
      <c r="E719" s="2"/>
      <c r="F719" s="2"/>
      <c r="G719" s="2"/>
      <c r="H719" s="2"/>
      <c r="I719" s="2"/>
      <c r="J719" s="4"/>
      <c r="K719" s="9"/>
      <c r="L719"/>
      <c r="M719"/>
      <c r="N719"/>
      <c r="O719"/>
    </row>
    <row r="720" spans="1:15" s="205" customFormat="1">
      <c r="A720"/>
      <c r="C720" s="6"/>
      <c r="D720" s="6"/>
      <c r="E720" s="2"/>
      <c r="F720" s="2"/>
      <c r="G720" s="2"/>
      <c r="H720" s="2"/>
      <c r="I720" s="2"/>
      <c r="J720" s="4"/>
      <c r="K720" s="9"/>
      <c r="L720"/>
      <c r="M720"/>
      <c r="N720"/>
      <c r="O720"/>
    </row>
    <row r="721" spans="1:15" s="205" customFormat="1">
      <c r="A721"/>
      <c r="C721" s="6"/>
      <c r="D721" s="6"/>
      <c r="E721" s="2"/>
      <c r="F721" s="2"/>
      <c r="G721" s="2"/>
      <c r="H721" s="2"/>
      <c r="I721" s="2"/>
      <c r="J721" s="4"/>
      <c r="K721" s="9"/>
      <c r="L721"/>
      <c r="M721"/>
      <c r="N721"/>
      <c r="O721"/>
    </row>
    <row r="722" spans="1:15" s="205" customFormat="1">
      <c r="A722"/>
      <c r="C722" s="6"/>
      <c r="D722" s="6"/>
      <c r="E722" s="2"/>
      <c r="F722" s="2"/>
      <c r="G722" s="2"/>
      <c r="H722" s="2"/>
      <c r="I722" s="2"/>
      <c r="J722" s="4"/>
      <c r="K722" s="9"/>
      <c r="L722"/>
      <c r="M722"/>
      <c r="N722"/>
      <c r="O722"/>
    </row>
    <row r="723" spans="1:15" s="205" customFormat="1">
      <c r="A723"/>
      <c r="C723" s="6"/>
      <c r="D723" s="6"/>
      <c r="E723" s="2"/>
      <c r="F723" s="2"/>
      <c r="G723" s="2"/>
      <c r="H723" s="2"/>
      <c r="I723" s="2"/>
      <c r="J723" s="4"/>
      <c r="K723" s="9"/>
      <c r="L723"/>
      <c r="M723"/>
      <c r="N723"/>
      <c r="O723"/>
    </row>
    <row r="724" spans="1:15" s="205" customFormat="1">
      <c r="A724"/>
      <c r="C724" s="6"/>
      <c r="D724" s="6"/>
      <c r="E724" s="2"/>
      <c r="F724" s="2"/>
      <c r="G724" s="2"/>
      <c r="H724" s="2"/>
      <c r="I724" s="2"/>
      <c r="J724" s="4"/>
      <c r="K724" s="9"/>
      <c r="L724"/>
      <c r="M724"/>
      <c r="N724"/>
      <c r="O724"/>
    </row>
    <row r="725" spans="1:15" s="205" customFormat="1">
      <c r="A725"/>
      <c r="C725" s="6"/>
      <c r="D725" s="6"/>
      <c r="E725" s="2"/>
      <c r="F725" s="2"/>
      <c r="G725" s="2"/>
      <c r="H725" s="2"/>
      <c r="I725" s="2"/>
      <c r="J725" s="4"/>
      <c r="K725" s="9"/>
      <c r="L725"/>
      <c r="M725"/>
      <c r="N725"/>
      <c r="O725"/>
    </row>
    <row r="726" spans="1:15" s="205" customFormat="1">
      <c r="A726"/>
      <c r="C726" s="6"/>
      <c r="D726" s="6"/>
      <c r="E726" s="2"/>
      <c r="F726" s="2"/>
      <c r="G726" s="2"/>
      <c r="H726" s="2"/>
      <c r="I726" s="2"/>
      <c r="J726" s="4"/>
      <c r="K726" s="9"/>
      <c r="L726"/>
      <c r="M726"/>
      <c r="N726"/>
      <c r="O726"/>
    </row>
    <row r="727" spans="1:15" s="205" customFormat="1">
      <c r="A727"/>
      <c r="C727" s="6"/>
      <c r="D727" s="6"/>
      <c r="E727" s="2"/>
      <c r="F727" s="2"/>
      <c r="G727" s="2"/>
      <c r="H727" s="2"/>
      <c r="I727" s="2"/>
      <c r="J727" s="4"/>
      <c r="K727" s="9"/>
      <c r="L727"/>
      <c r="M727"/>
      <c r="N727"/>
      <c r="O727"/>
    </row>
    <row r="728" spans="1:15" s="205" customFormat="1">
      <c r="A728"/>
      <c r="C728" s="6"/>
      <c r="D728" s="6"/>
      <c r="E728" s="2"/>
      <c r="F728" s="2"/>
      <c r="G728" s="2"/>
      <c r="H728" s="2"/>
      <c r="I728" s="2"/>
      <c r="J728" s="4"/>
      <c r="K728" s="9"/>
      <c r="L728"/>
      <c r="M728"/>
      <c r="N728"/>
      <c r="O728"/>
    </row>
    <row r="729" spans="1:15" s="205" customFormat="1">
      <c r="A729"/>
      <c r="C729" s="6"/>
      <c r="D729" s="6"/>
      <c r="E729" s="2"/>
      <c r="F729" s="2"/>
      <c r="G729" s="2"/>
      <c r="H729" s="2"/>
      <c r="I729" s="2"/>
      <c r="J729" s="4"/>
      <c r="K729" s="9"/>
      <c r="L729"/>
      <c r="M729"/>
      <c r="N729"/>
      <c r="O729"/>
    </row>
    <row r="730" spans="1:15" s="205" customFormat="1">
      <c r="A730"/>
      <c r="C730" s="6"/>
      <c r="D730" s="6"/>
      <c r="E730" s="2"/>
      <c r="F730" s="2"/>
      <c r="G730" s="2"/>
      <c r="H730" s="2"/>
      <c r="I730" s="2"/>
      <c r="J730" s="4"/>
      <c r="K730" s="9"/>
      <c r="L730"/>
      <c r="M730"/>
      <c r="N730"/>
      <c r="O730"/>
    </row>
    <row r="731" spans="1:15" s="205" customFormat="1">
      <c r="A731"/>
      <c r="C731" s="6"/>
      <c r="D731" s="6"/>
      <c r="E731" s="2"/>
      <c r="F731" s="2"/>
      <c r="G731" s="2"/>
      <c r="H731" s="2"/>
      <c r="I731" s="2"/>
      <c r="J731" s="4"/>
      <c r="K731" s="9"/>
      <c r="L731"/>
      <c r="M731"/>
      <c r="N731"/>
      <c r="O731"/>
    </row>
    <row r="732" spans="1:15" s="205" customFormat="1">
      <c r="A732"/>
      <c r="C732" s="6"/>
      <c r="D732" s="6"/>
      <c r="E732" s="2"/>
      <c r="F732" s="2"/>
      <c r="G732" s="2"/>
      <c r="H732" s="2"/>
      <c r="I732" s="2"/>
      <c r="J732" s="4"/>
      <c r="K732" s="9"/>
      <c r="L732"/>
      <c r="M732"/>
      <c r="N732"/>
      <c r="O732"/>
    </row>
    <row r="733" spans="1:15" s="205" customFormat="1">
      <c r="A733"/>
      <c r="C733" s="6"/>
      <c r="D733" s="6"/>
      <c r="E733" s="2"/>
      <c r="F733" s="2"/>
      <c r="G733" s="2"/>
      <c r="H733" s="2"/>
      <c r="I733" s="2"/>
      <c r="J733" s="4"/>
      <c r="K733" s="9"/>
      <c r="L733"/>
      <c r="M733"/>
      <c r="N733"/>
      <c r="O733"/>
    </row>
    <row r="734" spans="1:15" s="205" customFormat="1">
      <c r="A734"/>
      <c r="C734" s="6"/>
      <c r="D734" s="6"/>
      <c r="E734" s="2"/>
      <c r="F734" s="2"/>
      <c r="G734" s="2"/>
      <c r="H734" s="2"/>
      <c r="I734" s="2"/>
      <c r="J734" s="4"/>
      <c r="K734" s="9"/>
      <c r="L734"/>
      <c r="M734"/>
      <c r="N734"/>
      <c r="O734"/>
    </row>
    <row r="735" spans="1:15" s="205" customFormat="1">
      <c r="A735"/>
      <c r="C735" s="6"/>
      <c r="D735" s="6"/>
      <c r="E735" s="2"/>
      <c r="F735" s="2"/>
      <c r="G735" s="2"/>
      <c r="H735" s="2"/>
      <c r="I735" s="2"/>
      <c r="J735" s="4"/>
      <c r="K735" s="9"/>
      <c r="L735"/>
      <c r="M735"/>
      <c r="N735"/>
      <c r="O735"/>
    </row>
    <row r="736" spans="1:15" s="205" customFormat="1">
      <c r="A736"/>
      <c r="C736" s="6"/>
      <c r="D736" s="6"/>
      <c r="E736" s="2"/>
      <c r="F736" s="2"/>
      <c r="G736" s="2"/>
      <c r="H736" s="2"/>
      <c r="I736" s="2"/>
      <c r="J736" s="4"/>
      <c r="K736" s="9"/>
      <c r="L736"/>
      <c r="M736"/>
      <c r="N736"/>
      <c r="O736"/>
    </row>
    <row r="737" spans="1:15" s="205" customFormat="1">
      <c r="A737"/>
      <c r="C737" s="6"/>
      <c r="D737" s="6"/>
      <c r="E737" s="2"/>
      <c r="F737" s="2"/>
      <c r="G737" s="2"/>
      <c r="H737" s="2"/>
      <c r="I737" s="2"/>
      <c r="J737" s="4"/>
      <c r="K737" s="9"/>
      <c r="L737"/>
      <c r="M737"/>
      <c r="N737"/>
      <c r="O737"/>
    </row>
    <row r="738" spans="1:15" s="205" customFormat="1">
      <c r="A738"/>
      <c r="C738" s="6"/>
      <c r="D738" s="6"/>
      <c r="E738" s="2"/>
      <c r="F738" s="2"/>
      <c r="G738" s="2"/>
      <c r="H738" s="2"/>
      <c r="I738" s="2"/>
      <c r="J738" s="4"/>
      <c r="K738" s="9"/>
      <c r="L738"/>
      <c r="M738"/>
      <c r="N738"/>
      <c r="O738"/>
    </row>
    <row r="739" spans="1:15" s="205" customFormat="1">
      <c r="A739"/>
      <c r="C739" s="6"/>
      <c r="D739" s="6"/>
      <c r="E739" s="2"/>
      <c r="F739" s="2"/>
      <c r="G739" s="2"/>
      <c r="H739" s="2"/>
      <c r="I739" s="2"/>
      <c r="J739" s="4"/>
      <c r="K739" s="9"/>
      <c r="L739"/>
      <c r="M739"/>
      <c r="N739"/>
      <c r="O739"/>
    </row>
    <row r="740" spans="1:15" s="205" customFormat="1">
      <c r="A740"/>
      <c r="C740" s="6"/>
      <c r="D740" s="6"/>
      <c r="E740" s="2"/>
      <c r="F740" s="2"/>
      <c r="G740" s="2"/>
      <c r="H740" s="2"/>
      <c r="I740" s="2"/>
      <c r="J740" s="4"/>
      <c r="K740" s="9"/>
      <c r="L740"/>
      <c r="M740"/>
      <c r="N740"/>
      <c r="O740"/>
    </row>
    <row r="741" spans="1:15" s="205" customFormat="1">
      <c r="A741"/>
      <c r="C741" s="6"/>
      <c r="D741" s="6"/>
      <c r="E741" s="2"/>
      <c r="F741" s="2"/>
      <c r="G741" s="2"/>
      <c r="H741" s="2"/>
      <c r="I741" s="2"/>
      <c r="J741" s="4"/>
      <c r="K741" s="9"/>
      <c r="L741"/>
      <c r="M741"/>
      <c r="N741"/>
      <c r="O741"/>
    </row>
    <row r="742" spans="1:15" s="205" customFormat="1">
      <c r="A742"/>
      <c r="C742" s="6"/>
      <c r="D742" s="6"/>
      <c r="E742" s="2"/>
      <c r="F742" s="2"/>
      <c r="G742" s="2"/>
      <c r="H742" s="2"/>
      <c r="I742" s="2"/>
      <c r="J742" s="4"/>
      <c r="K742" s="9"/>
      <c r="L742"/>
      <c r="M742"/>
      <c r="N742"/>
      <c r="O742"/>
    </row>
    <row r="743" spans="1:15" s="205" customFormat="1">
      <c r="A743"/>
      <c r="C743" s="6"/>
      <c r="D743" s="6"/>
      <c r="E743" s="2"/>
      <c r="F743" s="2"/>
      <c r="G743" s="2"/>
      <c r="H743" s="2"/>
      <c r="I743" s="2"/>
      <c r="J743" s="4"/>
      <c r="K743" s="9"/>
      <c r="L743"/>
      <c r="M743"/>
      <c r="N743"/>
      <c r="O743"/>
    </row>
    <row r="744" spans="1:15" s="205" customFormat="1">
      <c r="A744"/>
      <c r="C744" s="6"/>
      <c r="D744" s="6"/>
      <c r="E744" s="2"/>
      <c r="F744" s="2"/>
      <c r="G744" s="2"/>
      <c r="H744" s="2"/>
      <c r="I744" s="2"/>
      <c r="J744" s="4"/>
      <c r="K744" s="9"/>
      <c r="L744"/>
      <c r="M744"/>
      <c r="N744"/>
      <c r="O744"/>
    </row>
    <row r="745" spans="1:15" s="205" customFormat="1">
      <c r="A745"/>
      <c r="C745" s="6"/>
      <c r="D745" s="6"/>
      <c r="E745" s="2"/>
      <c r="F745" s="2"/>
      <c r="G745" s="2"/>
      <c r="H745" s="2"/>
      <c r="I745" s="2"/>
      <c r="J745" s="4"/>
      <c r="K745" s="9"/>
      <c r="L745"/>
      <c r="M745"/>
      <c r="N745"/>
      <c r="O745"/>
    </row>
    <row r="746" spans="1:15" s="205" customFormat="1">
      <c r="A746"/>
      <c r="C746" s="6"/>
      <c r="D746" s="6"/>
      <c r="E746" s="2"/>
      <c r="F746" s="2"/>
      <c r="G746" s="2"/>
      <c r="H746" s="2"/>
      <c r="I746" s="2"/>
      <c r="J746" s="4"/>
      <c r="K746" s="9"/>
      <c r="L746"/>
      <c r="M746"/>
      <c r="N746"/>
      <c r="O746"/>
    </row>
    <row r="747" spans="1:15" s="205" customFormat="1">
      <c r="A747"/>
      <c r="C747" s="6"/>
      <c r="D747" s="6"/>
      <c r="E747" s="2"/>
      <c r="F747" s="2"/>
      <c r="G747" s="2"/>
      <c r="H747" s="2"/>
      <c r="I747" s="2"/>
      <c r="J747" s="4"/>
      <c r="K747" s="9"/>
      <c r="L747"/>
      <c r="M747"/>
      <c r="N747"/>
      <c r="O747"/>
    </row>
    <row r="748" spans="1:15" s="205" customFormat="1">
      <c r="A748"/>
      <c r="C748" s="6"/>
      <c r="D748" s="6"/>
      <c r="E748" s="2"/>
      <c r="F748" s="2"/>
      <c r="G748" s="2"/>
      <c r="H748" s="2"/>
      <c r="I748" s="2"/>
      <c r="J748" s="4"/>
      <c r="K748" s="9"/>
      <c r="L748"/>
      <c r="M748"/>
      <c r="N748"/>
      <c r="O748"/>
    </row>
    <row r="749" spans="1:15" s="205" customFormat="1">
      <c r="A749"/>
      <c r="C749" s="6"/>
      <c r="D749" s="6"/>
      <c r="E749" s="2"/>
      <c r="F749" s="2"/>
      <c r="G749" s="2"/>
      <c r="H749" s="2"/>
      <c r="I749" s="2"/>
      <c r="J749" s="4"/>
      <c r="K749" s="9"/>
      <c r="L749"/>
      <c r="M749"/>
      <c r="N749"/>
      <c r="O749"/>
    </row>
    <row r="750" spans="1:15" s="205" customFormat="1">
      <c r="A750"/>
      <c r="C750" s="6"/>
      <c r="D750" s="6"/>
      <c r="E750" s="2"/>
      <c r="F750" s="2"/>
      <c r="G750" s="2"/>
      <c r="H750" s="2"/>
      <c r="I750" s="2"/>
      <c r="J750" s="4"/>
      <c r="K750" s="9"/>
      <c r="L750"/>
      <c r="M750"/>
      <c r="N750"/>
      <c r="O750"/>
    </row>
    <row r="751" spans="1:15" s="205" customFormat="1">
      <c r="A751"/>
      <c r="C751" s="6"/>
      <c r="D751" s="6"/>
      <c r="E751" s="2"/>
      <c r="F751" s="2"/>
      <c r="G751" s="2"/>
      <c r="H751" s="2"/>
      <c r="I751" s="2"/>
      <c r="J751" s="4"/>
      <c r="K751" s="9"/>
      <c r="L751"/>
      <c r="M751"/>
      <c r="N751"/>
      <c r="O751"/>
    </row>
    <row r="752" spans="1:15" s="205" customFormat="1">
      <c r="A752"/>
      <c r="C752" s="6"/>
      <c r="D752" s="6"/>
      <c r="E752" s="2"/>
      <c r="F752" s="2"/>
      <c r="G752" s="2"/>
      <c r="H752" s="2"/>
      <c r="I752" s="2"/>
      <c r="J752" s="4"/>
      <c r="K752" s="9"/>
      <c r="L752"/>
      <c r="M752"/>
      <c r="N752"/>
      <c r="O752"/>
    </row>
    <row r="753" spans="1:15" s="205" customFormat="1">
      <c r="A753"/>
      <c r="C753" s="6"/>
      <c r="D753" s="6"/>
      <c r="E753" s="2"/>
      <c r="F753" s="2"/>
      <c r="G753" s="2"/>
      <c r="H753" s="2"/>
      <c r="I753" s="2"/>
      <c r="J753" s="4"/>
      <c r="K753" s="9"/>
      <c r="L753"/>
      <c r="M753"/>
      <c r="N753"/>
      <c r="O753"/>
    </row>
    <row r="754" spans="1:15" s="205" customFormat="1">
      <c r="A754"/>
      <c r="C754" s="6"/>
      <c r="D754" s="6"/>
      <c r="E754" s="2"/>
      <c r="F754" s="2"/>
      <c r="G754" s="2"/>
      <c r="H754" s="2"/>
      <c r="I754" s="2"/>
      <c r="J754" s="4"/>
      <c r="K754" s="9"/>
      <c r="L754"/>
      <c r="M754"/>
      <c r="N754"/>
      <c r="O754"/>
    </row>
    <row r="755" spans="1:15" s="205" customFormat="1">
      <c r="A755"/>
      <c r="C755" s="6"/>
      <c r="D755" s="6"/>
      <c r="E755" s="2"/>
      <c r="F755" s="2"/>
      <c r="G755" s="2"/>
      <c r="H755" s="2"/>
      <c r="I755" s="2"/>
      <c r="J755" s="4"/>
      <c r="K755" s="9"/>
      <c r="L755"/>
      <c r="M755"/>
      <c r="N755"/>
      <c r="O755"/>
    </row>
    <row r="756" spans="1:15" s="205" customFormat="1">
      <c r="A756"/>
      <c r="C756" s="6"/>
      <c r="D756" s="6"/>
      <c r="E756" s="2"/>
      <c r="F756" s="2"/>
      <c r="G756" s="2"/>
      <c r="H756" s="2"/>
      <c r="I756" s="2"/>
      <c r="J756" s="4"/>
      <c r="K756" s="9"/>
      <c r="L756"/>
      <c r="M756"/>
      <c r="N756"/>
      <c r="O756"/>
    </row>
    <row r="757" spans="1:15" s="205" customFormat="1">
      <c r="A757"/>
      <c r="C757" s="6"/>
      <c r="D757" s="6"/>
      <c r="E757" s="2"/>
      <c r="F757" s="2"/>
      <c r="G757" s="2"/>
      <c r="H757" s="2"/>
      <c r="I757" s="2"/>
      <c r="J757" s="4"/>
      <c r="K757" s="9"/>
      <c r="L757"/>
      <c r="M757"/>
      <c r="N757"/>
      <c r="O757"/>
    </row>
    <row r="758" spans="1:15" s="205" customFormat="1">
      <c r="A758"/>
      <c r="C758" s="6"/>
      <c r="D758" s="6"/>
      <c r="E758" s="2"/>
      <c r="F758" s="2"/>
      <c r="G758" s="2"/>
      <c r="H758" s="2"/>
      <c r="I758" s="2"/>
      <c r="J758" s="4"/>
      <c r="K758" s="9"/>
      <c r="L758"/>
      <c r="M758"/>
      <c r="N758"/>
      <c r="O758"/>
    </row>
    <row r="759" spans="1:15" s="205" customFormat="1">
      <c r="A759"/>
      <c r="C759" s="6"/>
      <c r="D759" s="6"/>
      <c r="E759" s="2"/>
      <c r="F759" s="2"/>
      <c r="G759" s="2"/>
      <c r="H759" s="2"/>
      <c r="I759" s="2"/>
      <c r="J759" s="4"/>
      <c r="K759" s="9"/>
      <c r="L759"/>
      <c r="M759"/>
      <c r="N759"/>
      <c r="O759"/>
    </row>
    <row r="760" spans="1:15" s="205" customFormat="1">
      <c r="A760"/>
      <c r="C760" s="6"/>
      <c r="D760" s="6"/>
      <c r="E760" s="2"/>
      <c r="F760" s="2"/>
      <c r="G760" s="2"/>
      <c r="H760" s="2"/>
      <c r="I760" s="2"/>
      <c r="J760" s="4"/>
      <c r="K760" s="9"/>
      <c r="L760"/>
      <c r="M760"/>
      <c r="N760"/>
      <c r="O760"/>
    </row>
    <row r="761" spans="1:15" s="205" customFormat="1">
      <c r="A761"/>
      <c r="C761" s="6"/>
      <c r="D761" s="6"/>
      <c r="E761" s="2"/>
      <c r="F761" s="2"/>
      <c r="G761" s="2"/>
      <c r="H761" s="2"/>
      <c r="I761" s="2"/>
      <c r="J761" s="4"/>
      <c r="K761" s="9"/>
      <c r="L761"/>
      <c r="M761"/>
      <c r="N761"/>
      <c r="O761"/>
    </row>
    <row r="762" spans="1:15" s="205" customFormat="1">
      <c r="A762"/>
      <c r="C762" s="6"/>
      <c r="D762" s="6"/>
      <c r="E762" s="2"/>
      <c r="F762" s="2"/>
      <c r="G762" s="2"/>
      <c r="H762" s="2"/>
      <c r="I762" s="2"/>
      <c r="J762" s="4"/>
      <c r="K762" s="9"/>
      <c r="L762"/>
      <c r="M762"/>
      <c r="N762"/>
      <c r="O762"/>
    </row>
    <row r="763" spans="1:15" s="205" customFormat="1">
      <c r="A763"/>
      <c r="C763" s="6"/>
      <c r="D763" s="6"/>
      <c r="E763" s="2"/>
      <c r="F763" s="2"/>
      <c r="G763" s="2"/>
      <c r="H763" s="2"/>
      <c r="I763" s="2"/>
      <c r="J763" s="4"/>
      <c r="K763" s="9"/>
      <c r="L763"/>
      <c r="M763"/>
      <c r="N763"/>
      <c r="O763"/>
    </row>
    <row r="764" spans="1:15" s="205" customFormat="1">
      <c r="A764"/>
      <c r="C764" s="6"/>
      <c r="D764" s="6"/>
      <c r="E764" s="2"/>
      <c r="F764" s="2"/>
      <c r="G764" s="2"/>
      <c r="H764" s="2"/>
      <c r="I764" s="2"/>
      <c r="J764" s="4"/>
      <c r="K764" s="9"/>
      <c r="L764"/>
      <c r="M764"/>
      <c r="N764"/>
      <c r="O764"/>
    </row>
    <row r="765" spans="1:15" s="205" customFormat="1">
      <c r="A765"/>
      <c r="C765" s="6"/>
      <c r="D765" s="6"/>
      <c r="E765" s="2"/>
      <c r="F765" s="2"/>
      <c r="G765" s="2"/>
      <c r="H765" s="2"/>
      <c r="I765" s="2"/>
      <c r="J765" s="4"/>
      <c r="K765" s="9"/>
      <c r="L765"/>
      <c r="M765"/>
      <c r="N765"/>
      <c r="O765"/>
    </row>
    <row r="766" spans="1:15" s="205" customFormat="1">
      <c r="A766"/>
      <c r="C766" s="6"/>
      <c r="D766" s="6"/>
      <c r="E766" s="2"/>
      <c r="F766" s="2"/>
      <c r="G766" s="2"/>
      <c r="H766" s="2"/>
      <c r="I766" s="2"/>
      <c r="J766" s="4"/>
      <c r="K766" s="9"/>
      <c r="L766"/>
      <c r="M766"/>
      <c r="N766"/>
      <c r="O766"/>
    </row>
    <row r="767" spans="1:15" s="205" customFormat="1">
      <c r="A767"/>
      <c r="C767" s="6"/>
      <c r="D767" s="6"/>
      <c r="E767" s="2"/>
      <c r="F767" s="2"/>
      <c r="G767" s="2"/>
      <c r="H767" s="2"/>
      <c r="I767" s="2"/>
      <c r="J767" s="4"/>
      <c r="K767" s="9"/>
      <c r="L767"/>
      <c r="M767"/>
      <c r="N767"/>
      <c r="O767"/>
    </row>
    <row r="768" spans="1:15" s="205" customFormat="1">
      <c r="A768"/>
      <c r="C768" s="6"/>
      <c r="D768" s="6"/>
      <c r="E768" s="2"/>
      <c r="F768" s="2"/>
      <c r="G768" s="2"/>
      <c r="H768" s="2"/>
      <c r="I768" s="2"/>
      <c r="J768" s="4"/>
      <c r="K768" s="9"/>
      <c r="L768"/>
      <c r="M768"/>
      <c r="N768"/>
      <c r="O768"/>
    </row>
    <row r="769" spans="1:15" s="205" customFormat="1">
      <c r="A769"/>
      <c r="C769" s="6"/>
      <c r="D769" s="6"/>
      <c r="E769" s="2"/>
      <c r="F769" s="2"/>
      <c r="G769" s="2"/>
      <c r="H769" s="2"/>
      <c r="I769" s="2"/>
      <c r="J769" s="4"/>
      <c r="K769" s="9"/>
      <c r="L769"/>
      <c r="M769"/>
      <c r="N769"/>
      <c r="O769"/>
    </row>
    <row r="770" spans="1:15" s="205" customFormat="1">
      <c r="A770"/>
      <c r="C770" s="6"/>
      <c r="D770" s="6"/>
      <c r="E770" s="2"/>
      <c r="F770" s="2"/>
      <c r="G770" s="2"/>
      <c r="H770" s="2"/>
      <c r="I770" s="2"/>
      <c r="J770" s="4"/>
      <c r="K770" s="9"/>
      <c r="L770"/>
      <c r="M770"/>
      <c r="N770"/>
      <c r="O770"/>
    </row>
    <row r="771" spans="1:15" s="205" customFormat="1">
      <c r="A771"/>
      <c r="C771" s="6"/>
      <c r="D771" s="6"/>
      <c r="E771" s="2"/>
      <c r="F771" s="2"/>
      <c r="G771" s="2"/>
      <c r="H771" s="2"/>
      <c r="I771" s="2"/>
      <c r="J771" s="4"/>
      <c r="K771" s="9"/>
      <c r="L771"/>
      <c r="M771"/>
      <c r="N771"/>
      <c r="O771"/>
    </row>
    <row r="772" spans="1:15" s="205" customFormat="1">
      <c r="A772"/>
      <c r="C772" s="6"/>
      <c r="D772" s="6"/>
      <c r="E772" s="2"/>
      <c r="F772" s="2"/>
      <c r="G772" s="2"/>
      <c r="H772" s="2"/>
      <c r="I772" s="2"/>
      <c r="J772" s="4"/>
      <c r="K772" s="9"/>
      <c r="L772"/>
      <c r="M772"/>
      <c r="N772"/>
      <c r="O772"/>
    </row>
    <row r="773" spans="1:15" s="205" customFormat="1">
      <c r="A773"/>
      <c r="C773" s="6"/>
      <c r="D773" s="6"/>
      <c r="E773" s="2"/>
      <c r="F773" s="2"/>
      <c r="G773" s="2"/>
      <c r="H773" s="2"/>
      <c r="I773" s="2"/>
      <c r="J773" s="4"/>
      <c r="K773" s="9"/>
      <c r="L773"/>
      <c r="M773"/>
      <c r="N773"/>
      <c r="O773"/>
    </row>
    <row r="774" spans="1:15" s="205" customFormat="1">
      <c r="A774"/>
      <c r="C774" s="6"/>
      <c r="D774" s="6"/>
      <c r="E774" s="2"/>
      <c r="F774" s="2"/>
      <c r="G774" s="2"/>
      <c r="H774" s="2"/>
      <c r="I774" s="2"/>
      <c r="J774" s="4"/>
      <c r="K774" s="9"/>
      <c r="L774"/>
      <c r="M774"/>
      <c r="N774"/>
      <c r="O774"/>
    </row>
    <row r="775" spans="1:15" s="205" customFormat="1">
      <c r="A775"/>
      <c r="C775" s="6"/>
      <c r="D775" s="6"/>
      <c r="E775" s="2"/>
      <c r="F775" s="2"/>
      <c r="G775" s="2"/>
      <c r="H775" s="2"/>
      <c r="I775" s="2"/>
      <c r="J775" s="4"/>
      <c r="K775" s="9"/>
      <c r="L775"/>
      <c r="M775"/>
      <c r="N775"/>
      <c r="O775"/>
    </row>
    <row r="776" spans="1:15" s="205" customFormat="1">
      <c r="A776"/>
      <c r="C776" s="6"/>
      <c r="D776" s="6"/>
      <c r="E776" s="2"/>
      <c r="F776" s="2"/>
      <c r="G776" s="2"/>
      <c r="H776" s="2"/>
      <c r="I776" s="2"/>
      <c r="J776" s="4"/>
      <c r="K776" s="9"/>
      <c r="L776"/>
      <c r="M776"/>
      <c r="N776"/>
      <c r="O776"/>
    </row>
    <row r="777" spans="1:15" s="205" customFormat="1">
      <c r="A777"/>
      <c r="C777" s="6"/>
      <c r="D777" s="6"/>
      <c r="E777" s="2"/>
      <c r="F777" s="2"/>
      <c r="G777" s="2"/>
      <c r="H777" s="2"/>
      <c r="I777" s="2"/>
      <c r="J777" s="4"/>
      <c r="K777" s="9"/>
      <c r="L777"/>
      <c r="M777"/>
      <c r="N777"/>
      <c r="O777"/>
    </row>
    <row r="778" spans="1:15" s="205" customFormat="1">
      <c r="A778"/>
      <c r="C778" s="6"/>
      <c r="D778" s="6"/>
      <c r="E778" s="2"/>
      <c r="F778" s="2"/>
      <c r="G778" s="2"/>
      <c r="H778" s="2"/>
      <c r="I778" s="2"/>
      <c r="J778" s="4"/>
      <c r="K778" s="9"/>
      <c r="L778"/>
      <c r="M778"/>
      <c r="N778"/>
      <c r="O778"/>
    </row>
    <row r="779" spans="1:15" s="205" customFormat="1">
      <c r="A779"/>
      <c r="C779" s="6"/>
      <c r="D779" s="6"/>
      <c r="E779" s="2"/>
      <c r="F779" s="2"/>
      <c r="G779" s="2"/>
      <c r="H779" s="2"/>
      <c r="I779" s="2"/>
      <c r="J779" s="4"/>
      <c r="K779" s="9"/>
      <c r="L779"/>
      <c r="M779"/>
      <c r="N779"/>
      <c r="O779"/>
    </row>
    <row r="780" spans="1:15" s="205" customFormat="1">
      <c r="A780"/>
      <c r="C780" s="6"/>
      <c r="D780" s="6"/>
      <c r="E780" s="2"/>
      <c r="F780" s="2"/>
      <c r="G780" s="2"/>
      <c r="H780" s="2"/>
      <c r="I780" s="2"/>
      <c r="J780" s="4"/>
      <c r="K780" s="9"/>
      <c r="L780"/>
      <c r="M780"/>
      <c r="N780"/>
      <c r="O780"/>
    </row>
    <row r="781" spans="1:15" s="205" customFormat="1">
      <c r="A781"/>
      <c r="C781" s="6"/>
      <c r="D781" s="6"/>
      <c r="E781" s="2"/>
      <c r="F781" s="2"/>
      <c r="G781" s="2"/>
      <c r="H781" s="2"/>
      <c r="I781" s="2"/>
      <c r="J781" s="4"/>
      <c r="K781" s="9"/>
      <c r="L781"/>
      <c r="M781"/>
      <c r="N781"/>
      <c r="O781"/>
    </row>
    <row r="782" spans="1:15" s="205" customFormat="1">
      <c r="A782"/>
      <c r="C782" s="6"/>
      <c r="D782" s="6"/>
      <c r="E782" s="2"/>
      <c r="F782" s="2"/>
      <c r="G782" s="2"/>
      <c r="H782" s="2"/>
      <c r="I782" s="2"/>
      <c r="J782" s="4"/>
      <c r="K782" s="9"/>
      <c r="L782"/>
      <c r="M782"/>
      <c r="N782"/>
      <c r="O782"/>
    </row>
    <row r="783" spans="1:15" s="205" customFormat="1">
      <c r="A783"/>
      <c r="C783" s="6"/>
      <c r="D783" s="6"/>
      <c r="E783" s="2"/>
      <c r="F783" s="2"/>
      <c r="G783" s="2"/>
      <c r="H783" s="2"/>
      <c r="I783" s="2"/>
      <c r="J783" s="4"/>
      <c r="K783" s="9"/>
      <c r="L783"/>
      <c r="M783"/>
      <c r="N783"/>
      <c r="O783"/>
    </row>
    <row r="784" spans="1:15" s="205" customFormat="1">
      <c r="A784"/>
      <c r="C784" s="6"/>
      <c r="D784" s="6"/>
      <c r="E784" s="2"/>
      <c r="F784" s="2"/>
      <c r="G784" s="2"/>
      <c r="H784" s="2"/>
      <c r="I784" s="2"/>
      <c r="J784" s="4"/>
      <c r="K784" s="9"/>
      <c r="L784"/>
      <c r="M784"/>
      <c r="N784"/>
      <c r="O784"/>
    </row>
    <row r="785" spans="1:15" s="205" customFormat="1">
      <c r="A785"/>
      <c r="C785" s="6"/>
      <c r="D785" s="6"/>
      <c r="E785" s="2"/>
      <c r="F785" s="2"/>
      <c r="G785" s="2"/>
      <c r="H785" s="2"/>
      <c r="I785" s="2"/>
      <c r="J785" s="4"/>
      <c r="K785" s="9"/>
      <c r="L785"/>
      <c r="M785"/>
      <c r="N785"/>
      <c r="O785"/>
    </row>
    <row r="786" spans="1:15" s="205" customFormat="1">
      <c r="A786"/>
      <c r="C786" s="6"/>
      <c r="D786" s="6"/>
      <c r="E786" s="2"/>
      <c r="F786" s="2"/>
      <c r="G786" s="2"/>
      <c r="H786" s="2"/>
      <c r="I786" s="2"/>
      <c r="J786" s="4"/>
      <c r="K786" s="9"/>
      <c r="L786"/>
      <c r="M786"/>
      <c r="N786"/>
      <c r="O786"/>
    </row>
    <row r="787" spans="1:15" s="205" customFormat="1">
      <c r="A787"/>
      <c r="C787" s="6"/>
      <c r="D787" s="6"/>
      <c r="E787" s="2"/>
      <c r="F787" s="2"/>
      <c r="G787" s="2"/>
      <c r="H787" s="2"/>
      <c r="I787" s="2"/>
      <c r="J787" s="4"/>
      <c r="K787" s="9"/>
      <c r="L787"/>
      <c r="M787"/>
      <c r="N787"/>
      <c r="O787"/>
    </row>
    <row r="788" spans="1:15" s="205" customFormat="1">
      <c r="A788"/>
      <c r="C788" s="6"/>
      <c r="D788" s="6"/>
      <c r="E788" s="2"/>
      <c r="F788" s="2"/>
      <c r="G788" s="2"/>
      <c r="H788" s="2"/>
      <c r="I788" s="2"/>
      <c r="J788" s="4"/>
      <c r="K788" s="9"/>
      <c r="L788"/>
      <c r="M788"/>
      <c r="N788"/>
      <c r="O788"/>
    </row>
    <row r="789" spans="1:15" s="205" customFormat="1">
      <c r="A789"/>
      <c r="C789" s="6"/>
      <c r="D789" s="6"/>
      <c r="E789" s="2"/>
      <c r="F789" s="2"/>
      <c r="G789" s="2"/>
      <c r="H789" s="2"/>
      <c r="I789" s="2"/>
      <c r="J789" s="4"/>
      <c r="K789" s="9"/>
      <c r="L789"/>
      <c r="M789"/>
      <c r="N789"/>
      <c r="O789"/>
    </row>
    <row r="790" spans="1:15" s="205" customFormat="1">
      <c r="A790"/>
      <c r="C790" s="6"/>
      <c r="D790" s="6"/>
      <c r="E790" s="2"/>
      <c r="F790" s="2"/>
      <c r="G790" s="2"/>
      <c r="H790" s="2"/>
      <c r="I790" s="2"/>
      <c r="J790" s="4"/>
      <c r="K790" s="9"/>
      <c r="L790"/>
      <c r="M790"/>
      <c r="N790"/>
      <c r="O790"/>
    </row>
    <row r="791" spans="1:15" s="205" customFormat="1">
      <c r="A791"/>
      <c r="C791" s="6"/>
      <c r="D791" s="6"/>
      <c r="E791" s="2"/>
      <c r="F791" s="2"/>
      <c r="G791" s="2"/>
      <c r="H791" s="2"/>
      <c r="I791" s="2"/>
      <c r="J791" s="4"/>
      <c r="K791" s="9"/>
      <c r="L791"/>
      <c r="M791"/>
      <c r="N791"/>
      <c r="O791"/>
    </row>
    <row r="792" spans="1:15" s="205" customFormat="1">
      <c r="A792"/>
      <c r="C792" s="6"/>
      <c r="D792" s="6"/>
      <c r="E792" s="2"/>
      <c r="F792" s="2"/>
      <c r="G792" s="2"/>
      <c r="H792" s="2"/>
      <c r="I792" s="2"/>
      <c r="J792" s="4"/>
      <c r="K792" s="9"/>
      <c r="L792"/>
      <c r="M792"/>
      <c r="N792"/>
      <c r="O792"/>
    </row>
    <row r="793" spans="1:15" s="205" customFormat="1">
      <c r="A793"/>
      <c r="C793" s="6"/>
      <c r="D793" s="6"/>
      <c r="E793" s="2"/>
      <c r="F793" s="2"/>
      <c r="G793" s="2"/>
      <c r="H793" s="2"/>
      <c r="I793" s="2"/>
      <c r="J793" s="4"/>
      <c r="K793" s="9"/>
      <c r="L793"/>
      <c r="M793"/>
      <c r="N793"/>
      <c r="O793"/>
    </row>
    <row r="794" spans="1:15" s="205" customFormat="1">
      <c r="A794"/>
      <c r="C794" s="6"/>
      <c r="D794" s="6"/>
      <c r="E794" s="2"/>
      <c r="F794" s="2"/>
      <c r="G794" s="2"/>
      <c r="H794" s="2"/>
      <c r="I794" s="2"/>
      <c r="J794" s="4"/>
      <c r="K794" s="9"/>
      <c r="L794"/>
      <c r="M794"/>
      <c r="N794"/>
      <c r="O794"/>
    </row>
    <row r="795" spans="1:15" s="205" customFormat="1">
      <c r="A795"/>
      <c r="C795" s="6"/>
      <c r="D795" s="6"/>
      <c r="E795" s="2"/>
      <c r="F795" s="2"/>
      <c r="G795" s="2"/>
      <c r="H795" s="2"/>
      <c r="I795" s="2"/>
      <c r="J795" s="4"/>
      <c r="K795" s="9"/>
      <c r="L795"/>
      <c r="M795"/>
      <c r="N795"/>
      <c r="O795"/>
    </row>
    <row r="796" spans="1:15" s="205" customFormat="1">
      <c r="A796"/>
      <c r="C796" s="6"/>
      <c r="D796" s="6"/>
      <c r="E796" s="2"/>
      <c r="F796" s="2"/>
      <c r="G796" s="2"/>
      <c r="H796" s="2"/>
      <c r="I796" s="2"/>
      <c r="J796" s="4"/>
      <c r="K796" s="9"/>
      <c r="L796"/>
      <c r="M796"/>
      <c r="N796"/>
      <c r="O796"/>
    </row>
    <row r="797" spans="1:15" s="205" customFormat="1">
      <c r="A797"/>
      <c r="C797" s="6"/>
      <c r="D797" s="6"/>
      <c r="E797" s="2"/>
      <c r="F797" s="2"/>
      <c r="G797" s="2"/>
      <c r="H797" s="2"/>
      <c r="I797" s="2"/>
      <c r="J797" s="4"/>
      <c r="K797" s="9"/>
      <c r="L797"/>
      <c r="M797"/>
      <c r="N797"/>
      <c r="O797"/>
    </row>
    <row r="798" spans="1:15" s="205" customFormat="1">
      <c r="A798"/>
      <c r="C798" s="6"/>
      <c r="D798" s="6"/>
      <c r="E798" s="2"/>
      <c r="F798" s="2"/>
      <c r="G798" s="2"/>
      <c r="H798" s="2"/>
      <c r="I798" s="2"/>
      <c r="J798" s="4"/>
      <c r="K798" s="9"/>
      <c r="L798"/>
      <c r="M798"/>
      <c r="N798"/>
      <c r="O798"/>
    </row>
    <row r="799" spans="1:15" s="205" customFormat="1">
      <c r="A799"/>
      <c r="C799" s="6"/>
      <c r="D799" s="6"/>
      <c r="E799" s="2"/>
      <c r="F799" s="2"/>
      <c r="G799" s="2"/>
      <c r="H799" s="2"/>
      <c r="I799" s="2"/>
      <c r="J799" s="4"/>
      <c r="K799" s="9"/>
      <c r="L799"/>
      <c r="M799"/>
      <c r="N799"/>
      <c r="O799"/>
    </row>
    <row r="800" spans="1:15" s="205" customFormat="1">
      <c r="A800"/>
      <c r="C800" s="6"/>
      <c r="D800" s="6"/>
      <c r="E800" s="2"/>
      <c r="F800" s="2"/>
      <c r="G800" s="2"/>
      <c r="H800" s="2"/>
      <c r="I800" s="2"/>
      <c r="J800" s="4"/>
      <c r="K800" s="9"/>
      <c r="L800"/>
      <c r="M800"/>
      <c r="N800"/>
      <c r="O800"/>
    </row>
    <row r="801" spans="1:15" s="205" customFormat="1">
      <c r="A801"/>
      <c r="C801" s="6"/>
      <c r="D801" s="6"/>
      <c r="E801" s="2"/>
      <c r="F801" s="2"/>
      <c r="G801" s="2"/>
      <c r="H801" s="2"/>
      <c r="I801" s="2"/>
      <c r="J801" s="4"/>
      <c r="K801" s="9"/>
      <c r="L801"/>
      <c r="M801"/>
      <c r="N801"/>
      <c r="O801"/>
    </row>
    <row r="802" spans="1:15" s="205" customFormat="1">
      <c r="A802"/>
      <c r="C802" s="6"/>
      <c r="D802" s="6"/>
      <c r="E802" s="2"/>
      <c r="F802" s="2"/>
      <c r="G802" s="2"/>
      <c r="H802" s="2"/>
      <c r="I802" s="2"/>
      <c r="J802" s="4"/>
      <c r="K802" s="9"/>
      <c r="L802"/>
      <c r="M802"/>
      <c r="N802"/>
      <c r="O802"/>
    </row>
    <row r="803" spans="1:15" s="205" customFormat="1">
      <c r="A803"/>
      <c r="C803" s="6"/>
      <c r="D803" s="6"/>
      <c r="E803" s="2"/>
      <c r="F803" s="2"/>
      <c r="G803" s="2"/>
      <c r="H803" s="2"/>
      <c r="I803" s="2"/>
      <c r="J803" s="4"/>
      <c r="K803" s="9"/>
      <c r="L803"/>
      <c r="M803"/>
      <c r="N803"/>
      <c r="O803"/>
    </row>
    <row r="804" spans="1:15" s="205" customFormat="1">
      <c r="A804"/>
      <c r="C804" s="6"/>
      <c r="D804" s="6"/>
      <c r="E804" s="2"/>
      <c r="F804" s="2"/>
      <c r="G804" s="2"/>
      <c r="H804" s="2"/>
      <c r="I804" s="2"/>
      <c r="J804" s="4"/>
      <c r="K804" s="9"/>
      <c r="L804"/>
      <c r="M804"/>
      <c r="N804"/>
      <c r="O804"/>
    </row>
    <row r="805" spans="1:15" s="205" customFormat="1">
      <c r="A805"/>
      <c r="C805" s="6"/>
      <c r="D805" s="6"/>
      <c r="E805" s="2"/>
      <c r="F805" s="2"/>
      <c r="G805" s="2"/>
      <c r="H805" s="2"/>
      <c r="I805" s="2"/>
      <c r="J805" s="4"/>
      <c r="K805" s="9"/>
      <c r="L805"/>
      <c r="M805"/>
      <c r="N805"/>
      <c r="O805"/>
    </row>
    <row r="806" spans="1:15" s="205" customFormat="1">
      <c r="A806"/>
      <c r="C806" s="6"/>
      <c r="D806" s="6"/>
      <c r="E806" s="2"/>
      <c r="F806" s="2"/>
      <c r="G806" s="2"/>
      <c r="H806" s="2"/>
      <c r="I806" s="2"/>
      <c r="J806" s="4"/>
      <c r="K806" s="9"/>
      <c r="L806"/>
      <c r="M806"/>
      <c r="N806"/>
      <c r="O806"/>
    </row>
    <row r="807" spans="1:15" s="205" customFormat="1">
      <c r="A807"/>
      <c r="C807" s="6"/>
      <c r="D807" s="6"/>
      <c r="E807" s="2"/>
      <c r="F807" s="2"/>
      <c r="G807" s="2"/>
      <c r="H807" s="2"/>
      <c r="I807" s="2"/>
      <c r="J807" s="4"/>
      <c r="K807" s="9"/>
      <c r="L807"/>
      <c r="M807"/>
      <c r="N807"/>
      <c r="O807"/>
    </row>
    <row r="808" spans="1:15" s="205" customFormat="1">
      <c r="A808"/>
      <c r="C808" s="6"/>
      <c r="D808" s="6"/>
      <c r="E808" s="2"/>
      <c r="F808" s="2"/>
      <c r="G808" s="2"/>
      <c r="H808" s="2"/>
      <c r="I808" s="2"/>
      <c r="J808" s="4"/>
      <c r="K808" s="9"/>
      <c r="L808"/>
      <c r="M808"/>
      <c r="N808"/>
      <c r="O808"/>
    </row>
    <row r="809" spans="1:15" s="205" customFormat="1">
      <c r="A809"/>
      <c r="C809" s="6"/>
      <c r="D809" s="6"/>
      <c r="E809" s="2"/>
      <c r="F809" s="2"/>
      <c r="G809" s="2"/>
      <c r="H809" s="2"/>
      <c r="I809" s="2"/>
      <c r="J809" s="4"/>
      <c r="K809" s="9"/>
      <c r="L809"/>
      <c r="M809"/>
      <c r="N809"/>
      <c r="O809"/>
    </row>
    <row r="810" spans="1:15" s="205" customFormat="1">
      <c r="A810"/>
      <c r="C810" s="6"/>
      <c r="D810" s="6"/>
      <c r="E810" s="2"/>
      <c r="F810" s="2"/>
      <c r="G810" s="2"/>
      <c r="H810" s="2"/>
      <c r="I810" s="2"/>
      <c r="J810" s="4"/>
      <c r="K810" s="9"/>
      <c r="L810"/>
      <c r="M810"/>
      <c r="N810"/>
      <c r="O810"/>
    </row>
    <row r="811" spans="1:15" s="205" customFormat="1">
      <c r="A811"/>
      <c r="C811" s="6"/>
      <c r="D811" s="6"/>
      <c r="E811" s="2"/>
      <c r="F811" s="2"/>
      <c r="G811" s="2"/>
      <c r="H811" s="2"/>
      <c r="I811" s="2"/>
      <c r="J811" s="4"/>
      <c r="K811" s="9"/>
      <c r="L811"/>
      <c r="M811"/>
      <c r="N811"/>
      <c r="O811"/>
    </row>
    <row r="812" spans="1:15" s="205" customFormat="1">
      <c r="A812"/>
      <c r="C812" s="6"/>
      <c r="D812" s="6"/>
      <c r="E812" s="2"/>
      <c r="F812" s="2"/>
      <c r="G812" s="2"/>
      <c r="H812" s="2"/>
      <c r="I812" s="2"/>
      <c r="J812" s="4"/>
      <c r="K812" s="9"/>
      <c r="L812"/>
      <c r="M812"/>
      <c r="N812"/>
      <c r="O812"/>
    </row>
    <row r="813" spans="1:15" s="205" customFormat="1">
      <c r="A813"/>
      <c r="C813" s="6"/>
      <c r="D813" s="6"/>
      <c r="E813" s="2"/>
      <c r="F813" s="2"/>
      <c r="G813" s="2"/>
      <c r="H813" s="2"/>
      <c r="I813" s="2"/>
      <c r="J813" s="4"/>
      <c r="K813" s="9"/>
      <c r="L813"/>
      <c r="M813"/>
      <c r="N813"/>
      <c r="O813"/>
    </row>
    <row r="814" spans="1:15" s="205" customFormat="1">
      <c r="A814"/>
      <c r="C814" s="6"/>
      <c r="D814" s="6"/>
      <c r="E814" s="2"/>
      <c r="F814" s="2"/>
      <c r="G814" s="2"/>
      <c r="H814" s="2"/>
      <c r="I814" s="2"/>
      <c r="J814" s="4"/>
      <c r="K814" s="9"/>
      <c r="L814"/>
      <c r="M814"/>
      <c r="N814"/>
      <c r="O814"/>
    </row>
    <row r="815" spans="1:15" s="205" customFormat="1">
      <c r="A815"/>
      <c r="C815" s="6"/>
      <c r="D815" s="6"/>
      <c r="E815" s="2"/>
      <c r="F815" s="2"/>
      <c r="G815" s="2"/>
      <c r="H815" s="2"/>
      <c r="I815" s="2"/>
      <c r="J815" s="4"/>
      <c r="K815" s="9"/>
      <c r="L815"/>
      <c r="M815"/>
      <c r="N815"/>
      <c r="O815"/>
    </row>
    <row r="816" spans="1:15" s="205" customFormat="1">
      <c r="A816"/>
      <c r="C816" s="6"/>
      <c r="D816" s="6"/>
      <c r="E816" s="2"/>
      <c r="F816" s="2"/>
      <c r="G816" s="2"/>
      <c r="H816" s="2"/>
      <c r="I816" s="2"/>
      <c r="J816" s="4"/>
      <c r="K816" s="9"/>
      <c r="L816"/>
      <c r="M816"/>
      <c r="N816"/>
      <c r="O816"/>
    </row>
    <row r="817" spans="1:15" s="205" customFormat="1">
      <c r="A817"/>
      <c r="C817" s="6"/>
      <c r="D817" s="6"/>
      <c r="E817" s="2"/>
      <c r="F817" s="2"/>
      <c r="G817" s="2"/>
      <c r="H817" s="2"/>
      <c r="I817" s="2"/>
      <c r="J817" s="4"/>
      <c r="K817" s="9"/>
      <c r="L817"/>
      <c r="M817"/>
      <c r="N817"/>
      <c r="O817"/>
    </row>
    <row r="818" spans="1:15" s="205" customFormat="1">
      <c r="A818"/>
      <c r="C818" s="6"/>
      <c r="D818" s="6"/>
      <c r="E818" s="2"/>
      <c r="F818" s="2"/>
      <c r="G818" s="2"/>
      <c r="H818" s="2"/>
      <c r="I818" s="2"/>
      <c r="J818" s="4"/>
      <c r="K818" s="9"/>
      <c r="L818"/>
      <c r="M818"/>
      <c r="N818"/>
      <c r="O818"/>
    </row>
    <row r="819" spans="1:15" s="205" customFormat="1">
      <c r="A819"/>
      <c r="C819" s="6"/>
      <c r="D819" s="6"/>
      <c r="E819" s="2"/>
      <c r="F819" s="2"/>
      <c r="G819" s="2"/>
      <c r="H819" s="2"/>
      <c r="I819" s="2"/>
      <c r="J819" s="4"/>
      <c r="K819" s="9"/>
      <c r="L819"/>
      <c r="M819"/>
      <c r="N819"/>
      <c r="O819"/>
    </row>
    <row r="820" spans="1:15" s="205" customFormat="1">
      <c r="A820"/>
      <c r="C820" s="6"/>
      <c r="D820" s="6"/>
      <c r="E820" s="2"/>
      <c r="F820" s="2"/>
      <c r="G820" s="2"/>
      <c r="H820" s="2"/>
      <c r="I820" s="2"/>
      <c r="J820" s="4"/>
      <c r="K820" s="9"/>
      <c r="L820"/>
      <c r="M820"/>
      <c r="N820"/>
      <c r="O820"/>
    </row>
    <row r="821" spans="1:15" s="205" customFormat="1">
      <c r="A821"/>
      <c r="C821" s="6"/>
      <c r="D821" s="6"/>
      <c r="E821" s="2"/>
      <c r="F821" s="2"/>
      <c r="G821" s="2"/>
      <c r="H821" s="2"/>
      <c r="I821" s="2"/>
      <c r="J821" s="4"/>
      <c r="K821" s="9"/>
      <c r="L821"/>
      <c r="M821"/>
      <c r="N821"/>
      <c r="O821"/>
    </row>
    <row r="822" spans="1:15" s="205" customFormat="1">
      <c r="A822"/>
      <c r="C822" s="6"/>
      <c r="D822" s="6"/>
      <c r="E822" s="2"/>
      <c r="F822" s="2"/>
      <c r="G822" s="2"/>
      <c r="H822" s="2"/>
      <c r="I822" s="2"/>
      <c r="J822" s="4"/>
      <c r="K822" s="9"/>
      <c r="L822"/>
      <c r="M822"/>
      <c r="N822"/>
      <c r="O822"/>
    </row>
    <row r="823" spans="1:15" s="205" customFormat="1">
      <c r="A823"/>
      <c r="C823" s="6"/>
      <c r="D823" s="6"/>
      <c r="E823" s="2"/>
      <c r="F823" s="2"/>
      <c r="G823" s="2"/>
      <c r="H823" s="2"/>
      <c r="I823" s="2"/>
      <c r="J823" s="4"/>
      <c r="K823" s="9"/>
      <c r="L823"/>
      <c r="M823"/>
      <c r="N823"/>
      <c r="O823"/>
    </row>
    <row r="824" spans="1:15" s="205" customFormat="1">
      <c r="A824"/>
      <c r="C824" s="6"/>
      <c r="D824" s="6"/>
      <c r="E824" s="2"/>
      <c r="F824" s="2"/>
      <c r="G824" s="2"/>
      <c r="H824" s="2"/>
      <c r="I824" s="2"/>
      <c r="J824" s="4"/>
      <c r="K824" s="9"/>
      <c r="L824"/>
      <c r="M824"/>
      <c r="N824"/>
      <c r="O824"/>
    </row>
    <row r="825" spans="1:15" s="205" customFormat="1">
      <c r="A825"/>
      <c r="C825" s="6"/>
      <c r="D825" s="6"/>
      <c r="E825" s="2"/>
      <c r="F825" s="2"/>
      <c r="G825" s="2"/>
      <c r="H825" s="2"/>
      <c r="I825" s="2"/>
      <c r="J825" s="4"/>
      <c r="K825" s="9"/>
      <c r="L825"/>
      <c r="M825"/>
      <c r="N825"/>
      <c r="O825"/>
    </row>
    <row r="826" spans="1:15" s="205" customFormat="1">
      <c r="A826"/>
      <c r="C826" s="6"/>
      <c r="D826" s="6"/>
      <c r="E826" s="2"/>
      <c r="F826" s="2"/>
      <c r="G826" s="2"/>
      <c r="H826" s="2"/>
      <c r="I826" s="2"/>
      <c r="J826" s="4"/>
      <c r="K826" s="9"/>
      <c r="L826"/>
      <c r="M826"/>
      <c r="N826"/>
      <c r="O826"/>
    </row>
    <row r="827" spans="1:15" s="205" customFormat="1">
      <c r="A827"/>
      <c r="C827" s="6"/>
      <c r="D827" s="6"/>
      <c r="E827" s="2"/>
      <c r="F827" s="2"/>
      <c r="G827" s="2"/>
      <c r="H827" s="2"/>
      <c r="I827" s="2"/>
      <c r="J827" s="4"/>
      <c r="K827" s="9"/>
      <c r="L827"/>
      <c r="M827"/>
      <c r="N827"/>
      <c r="O827"/>
    </row>
    <row r="828" spans="1:15" s="205" customFormat="1">
      <c r="A828"/>
      <c r="C828" s="6"/>
      <c r="D828" s="6"/>
      <c r="E828" s="2"/>
      <c r="F828" s="2"/>
      <c r="G828" s="2"/>
      <c r="H828" s="2"/>
      <c r="I828" s="2"/>
      <c r="J828" s="4"/>
      <c r="K828" s="9"/>
      <c r="L828"/>
      <c r="M828"/>
      <c r="N828"/>
      <c r="O828"/>
    </row>
    <row r="829" spans="1:15" s="205" customFormat="1">
      <c r="A829"/>
      <c r="C829" s="6"/>
      <c r="D829" s="6"/>
      <c r="E829" s="2"/>
      <c r="F829" s="2"/>
      <c r="G829" s="2"/>
      <c r="H829" s="2"/>
      <c r="I829" s="2"/>
      <c r="J829" s="4"/>
      <c r="K829" s="9"/>
      <c r="L829"/>
      <c r="M829"/>
      <c r="N829"/>
      <c r="O829"/>
    </row>
    <row r="830" spans="1:15" s="205" customFormat="1">
      <c r="A830"/>
      <c r="C830" s="6"/>
      <c r="D830" s="6"/>
      <c r="E830" s="2"/>
      <c r="F830" s="2"/>
      <c r="G830" s="2"/>
      <c r="H830" s="2"/>
      <c r="I830" s="2"/>
      <c r="J830" s="4"/>
      <c r="K830" s="9"/>
      <c r="L830"/>
      <c r="M830"/>
      <c r="N830"/>
      <c r="O830"/>
    </row>
    <row r="831" spans="1:15" s="205" customFormat="1">
      <c r="A831"/>
      <c r="C831" s="6"/>
      <c r="D831" s="6"/>
      <c r="E831" s="2"/>
      <c r="F831" s="2"/>
      <c r="G831" s="2"/>
      <c r="H831" s="2"/>
      <c r="I831" s="2"/>
      <c r="J831" s="4"/>
      <c r="K831" s="9"/>
      <c r="L831"/>
      <c r="M831"/>
      <c r="N831"/>
      <c r="O831"/>
    </row>
    <row r="832" spans="1:15" s="205" customFormat="1">
      <c r="A832"/>
      <c r="C832" s="6"/>
      <c r="D832" s="6"/>
      <c r="E832" s="2"/>
      <c r="F832" s="2"/>
      <c r="G832" s="2"/>
      <c r="H832" s="2"/>
      <c r="I832" s="2"/>
      <c r="J832" s="4"/>
      <c r="K832" s="9"/>
      <c r="L832"/>
      <c r="M832"/>
      <c r="N832"/>
      <c r="O832"/>
    </row>
    <row r="833" spans="1:15" s="205" customFormat="1">
      <c r="A833"/>
      <c r="C833" s="6"/>
      <c r="D833" s="6"/>
      <c r="E833" s="2"/>
      <c r="F833" s="2"/>
      <c r="G833" s="2"/>
      <c r="H833" s="2"/>
      <c r="I833" s="2"/>
      <c r="J833" s="4"/>
      <c r="K833" s="9"/>
      <c r="L833"/>
      <c r="M833"/>
      <c r="N833"/>
      <c r="O833"/>
    </row>
    <row r="834" spans="1:15" s="205" customFormat="1">
      <c r="A834"/>
      <c r="C834" s="6"/>
      <c r="D834" s="6"/>
      <c r="E834" s="2"/>
      <c r="F834" s="2"/>
      <c r="G834" s="2"/>
      <c r="H834" s="2"/>
      <c r="I834" s="2"/>
      <c r="J834" s="4"/>
      <c r="K834" s="9"/>
      <c r="L834"/>
      <c r="M834"/>
      <c r="N834"/>
      <c r="O834"/>
    </row>
    <row r="835" spans="1:15" s="205" customFormat="1">
      <c r="A835"/>
      <c r="C835" s="6"/>
      <c r="D835" s="6"/>
      <c r="E835" s="2"/>
      <c r="F835" s="2"/>
      <c r="G835" s="2"/>
      <c r="H835" s="2"/>
      <c r="I835" s="2"/>
      <c r="J835" s="4"/>
      <c r="K835" s="9"/>
      <c r="L835"/>
      <c r="M835"/>
      <c r="N835"/>
      <c r="O835"/>
    </row>
    <row r="836" spans="1:15" s="205" customFormat="1">
      <c r="A836"/>
      <c r="C836" s="6"/>
      <c r="D836" s="6"/>
      <c r="E836" s="2"/>
      <c r="F836" s="2"/>
      <c r="G836" s="2"/>
      <c r="H836" s="2"/>
      <c r="I836" s="2"/>
      <c r="J836" s="4"/>
      <c r="K836" s="9"/>
      <c r="L836"/>
      <c r="M836"/>
      <c r="N836"/>
      <c r="O836"/>
    </row>
    <row r="837" spans="1:15" s="205" customFormat="1">
      <c r="A837"/>
      <c r="C837" s="6"/>
      <c r="D837" s="6"/>
      <c r="E837" s="2"/>
      <c r="F837" s="2"/>
      <c r="G837" s="2"/>
      <c r="H837" s="2"/>
      <c r="I837" s="2"/>
      <c r="J837" s="4"/>
      <c r="K837" s="9"/>
      <c r="L837"/>
      <c r="M837"/>
      <c r="N837"/>
      <c r="O837"/>
    </row>
    <row r="838" spans="1:15" s="205" customFormat="1">
      <c r="A838"/>
      <c r="C838" s="6"/>
      <c r="D838" s="6"/>
      <c r="E838" s="2"/>
      <c r="F838" s="2"/>
      <c r="G838" s="2"/>
      <c r="H838" s="2"/>
      <c r="I838" s="2"/>
      <c r="J838" s="4"/>
      <c r="K838" s="9"/>
      <c r="L838"/>
      <c r="M838"/>
      <c r="N838"/>
      <c r="O838"/>
    </row>
    <row r="839" spans="1:15" s="205" customFormat="1">
      <c r="A839"/>
      <c r="C839" s="6"/>
      <c r="D839" s="6"/>
      <c r="E839" s="2"/>
      <c r="F839" s="2"/>
      <c r="G839" s="2"/>
      <c r="H839" s="2"/>
      <c r="I839" s="2"/>
      <c r="J839" s="4"/>
      <c r="K839" s="9"/>
      <c r="L839"/>
      <c r="M839"/>
      <c r="N839"/>
      <c r="O839"/>
    </row>
    <row r="840" spans="1:15" s="205" customFormat="1">
      <c r="A840"/>
      <c r="C840" s="6"/>
      <c r="D840" s="6"/>
      <c r="E840" s="2"/>
      <c r="F840" s="2"/>
      <c r="G840" s="2"/>
      <c r="H840" s="2"/>
      <c r="I840" s="2"/>
      <c r="J840" s="4"/>
      <c r="K840" s="9"/>
      <c r="L840"/>
      <c r="M840"/>
      <c r="N840"/>
      <c r="O840"/>
    </row>
    <row r="841" spans="1:15" s="205" customFormat="1">
      <c r="A841"/>
      <c r="C841" s="6"/>
      <c r="D841" s="6"/>
      <c r="E841" s="2"/>
      <c r="F841" s="2"/>
      <c r="G841" s="2"/>
      <c r="H841" s="2"/>
      <c r="I841" s="2"/>
      <c r="J841" s="4"/>
      <c r="K841" s="9"/>
      <c r="L841"/>
      <c r="M841"/>
      <c r="N841"/>
      <c r="O841"/>
    </row>
    <row r="842" spans="1:15" s="205" customFormat="1">
      <c r="A842"/>
      <c r="C842" s="6"/>
      <c r="D842" s="6"/>
      <c r="E842" s="2"/>
      <c r="F842" s="2"/>
      <c r="G842" s="2"/>
      <c r="H842" s="2"/>
      <c r="I842" s="2"/>
      <c r="J842" s="4"/>
      <c r="K842" s="9"/>
      <c r="L842"/>
      <c r="M842"/>
      <c r="N842"/>
      <c r="O842"/>
    </row>
    <row r="843" spans="1:15" s="205" customFormat="1">
      <c r="A843"/>
      <c r="C843" s="6"/>
      <c r="D843" s="6"/>
      <c r="E843" s="2"/>
      <c r="F843" s="2"/>
      <c r="G843" s="2"/>
      <c r="H843" s="2"/>
      <c r="I843" s="2"/>
      <c r="J843" s="4"/>
      <c r="K843" s="9"/>
      <c r="L843"/>
      <c r="M843"/>
      <c r="N843"/>
      <c r="O843"/>
    </row>
    <row r="844" spans="1:15" s="205" customFormat="1">
      <c r="A844"/>
      <c r="C844" s="6"/>
      <c r="D844" s="6"/>
      <c r="E844" s="2"/>
      <c r="F844" s="2"/>
      <c r="G844" s="2"/>
      <c r="H844" s="2"/>
      <c r="I844" s="2"/>
      <c r="J844" s="4"/>
      <c r="K844" s="9"/>
      <c r="L844"/>
      <c r="M844"/>
      <c r="N844"/>
      <c r="O844"/>
    </row>
    <row r="845" spans="1:15" s="205" customFormat="1">
      <c r="A845"/>
      <c r="C845" s="6"/>
      <c r="D845" s="6"/>
      <c r="E845" s="2"/>
      <c r="F845" s="2"/>
      <c r="G845" s="2"/>
      <c r="H845" s="2"/>
      <c r="I845" s="2"/>
      <c r="J845" s="4"/>
      <c r="K845" s="9"/>
      <c r="L845"/>
      <c r="M845"/>
      <c r="N845"/>
      <c r="O845"/>
    </row>
    <row r="846" spans="1:15" s="205" customFormat="1">
      <c r="A846"/>
      <c r="C846" s="6"/>
      <c r="D846" s="6"/>
      <c r="E846" s="2"/>
      <c r="F846" s="2"/>
      <c r="G846" s="2"/>
      <c r="H846" s="2"/>
      <c r="I846" s="2"/>
      <c r="J846" s="4"/>
      <c r="K846" s="9"/>
      <c r="L846"/>
      <c r="M846"/>
      <c r="N846"/>
      <c r="O846"/>
    </row>
    <row r="847" spans="1:15" s="205" customFormat="1">
      <c r="A847"/>
      <c r="C847" s="6"/>
      <c r="D847" s="6"/>
      <c r="E847" s="2"/>
      <c r="F847" s="2"/>
      <c r="G847" s="2"/>
      <c r="H847" s="2"/>
      <c r="I847" s="2"/>
      <c r="J847" s="4"/>
      <c r="K847" s="9"/>
      <c r="L847"/>
      <c r="M847"/>
      <c r="N847"/>
      <c r="O847"/>
    </row>
    <row r="848" spans="1:15" s="205" customFormat="1">
      <c r="A848"/>
      <c r="C848" s="6"/>
      <c r="D848" s="6"/>
      <c r="E848" s="2"/>
      <c r="F848" s="2"/>
      <c r="G848" s="2"/>
      <c r="H848" s="2"/>
      <c r="I848" s="2"/>
      <c r="J848" s="4"/>
      <c r="K848" s="9"/>
      <c r="L848"/>
      <c r="M848"/>
      <c r="N848"/>
      <c r="O848"/>
    </row>
    <row r="849" spans="1:15" s="205" customFormat="1">
      <c r="A849"/>
      <c r="C849" s="6"/>
      <c r="D849" s="6"/>
      <c r="E849" s="2"/>
      <c r="F849" s="2"/>
      <c r="G849" s="2"/>
      <c r="H849" s="2"/>
      <c r="I849" s="2"/>
      <c r="J849" s="4"/>
      <c r="K849" s="9"/>
      <c r="L849"/>
      <c r="M849"/>
      <c r="N849"/>
      <c r="O849"/>
    </row>
    <row r="850" spans="1:15" s="205" customFormat="1">
      <c r="A850"/>
      <c r="C850" s="6"/>
      <c r="D850" s="6"/>
      <c r="E850" s="2"/>
      <c r="F850" s="2"/>
      <c r="G850" s="2"/>
      <c r="H850" s="2"/>
      <c r="I850" s="2"/>
      <c r="J850" s="4"/>
      <c r="K850" s="9"/>
      <c r="L850"/>
      <c r="M850"/>
      <c r="N850"/>
      <c r="O850"/>
    </row>
    <row r="851" spans="1:15" s="205" customFormat="1">
      <c r="A851"/>
      <c r="C851" s="6"/>
      <c r="D851" s="6"/>
      <c r="E851" s="2"/>
      <c r="F851" s="2"/>
      <c r="G851" s="2"/>
      <c r="H851" s="2"/>
      <c r="I851" s="2"/>
      <c r="J851" s="4"/>
      <c r="K851" s="9"/>
      <c r="L851"/>
      <c r="M851"/>
      <c r="N851"/>
      <c r="O851"/>
    </row>
    <row r="852" spans="1:15" s="205" customFormat="1">
      <c r="A852"/>
      <c r="C852" s="6"/>
      <c r="D852" s="6"/>
      <c r="E852" s="2"/>
      <c r="F852" s="2"/>
      <c r="G852" s="2"/>
      <c r="H852" s="2"/>
      <c r="I852" s="2"/>
      <c r="J852" s="4"/>
      <c r="K852" s="9"/>
      <c r="L852"/>
      <c r="M852"/>
      <c r="N852"/>
      <c r="O852"/>
    </row>
    <row r="853" spans="1:15" s="205" customFormat="1">
      <c r="A853"/>
      <c r="C853" s="6"/>
      <c r="D853" s="6"/>
      <c r="E853" s="2"/>
      <c r="F853" s="2"/>
      <c r="G853" s="2"/>
      <c r="H853" s="2"/>
      <c r="I853" s="2"/>
      <c r="J853" s="4"/>
      <c r="K853" s="9"/>
      <c r="L853"/>
      <c r="M853"/>
      <c r="N853"/>
      <c r="O853"/>
    </row>
    <row r="854" spans="1:15" s="205" customFormat="1">
      <c r="A854"/>
      <c r="C854" s="6"/>
      <c r="D854" s="6"/>
      <c r="E854" s="2"/>
      <c r="F854" s="2"/>
      <c r="G854" s="2"/>
      <c r="H854" s="2"/>
      <c r="I854" s="2"/>
      <c r="J854" s="4"/>
      <c r="K854" s="9"/>
      <c r="L854"/>
      <c r="M854"/>
      <c r="N854"/>
      <c r="O854"/>
    </row>
    <row r="855" spans="1:15" s="205" customFormat="1">
      <c r="A855"/>
      <c r="C855" s="6"/>
      <c r="D855" s="6"/>
      <c r="E855" s="2"/>
      <c r="F855" s="2"/>
      <c r="G855" s="2"/>
      <c r="H855" s="2"/>
      <c r="I855" s="2"/>
      <c r="J855" s="4"/>
      <c r="K855" s="9"/>
      <c r="L855"/>
      <c r="M855"/>
      <c r="N855"/>
      <c r="O855"/>
    </row>
    <row r="856" spans="1:15" s="205" customFormat="1">
      <c r="A856"/>
      <c r="C856" s="6"/>
      <c r="D856" s="6"/>
      <c r="E856" s="2"/>
      <c r="F856" s="2"/>
      <c r="G856" s="2"/>
      <c r="H856" s="2"/>
      <c r="I856" s="2"/>
      <c r="J856" s="4"/>
      <c r="K856" s="9"/>
      <c r="L856"/>
      <c r="M856"/>
      <c r="N856"/>
      <c r="O856"/>
    </row>
    <row r="857" spans="1:15" s="205" customFormat="1">
      <c r="A857"/>
      <c r="C857" s="6"/>
      <c r="D857" s="6"/>
      <c r="E857" s="2"/>
      <c r="F857" s="2"/>
      <c r="G857" s="2"/>
      <c r="H857" s="2"/>
      <c r="I857" s="2"/>
      <c r="J857" s="4"/>
      <c r="K857" s="9"/>
      <c r="L857"/>
      <c r="M857"/>
      <c r="N857"/>
      <c r="O857"/>
    </row>
    <row r="858" spans="1:15" s="205" customFormat="1">
      <c r="A858"/>
      <c r="C858" s="6"/>
      <c r="D858" s="6"/>
      <c r="E858" s="2"/>
      <c r="F858" s="2"/>
      <c r="G858" s="2"/>
      <c r="H858" s="2"/>
      <c r="I858" s="2"/>
      <c r="J858" s="4"/>
      <c r="K858" s="9"/>
      <c r="L858"/>
      <c r="M858"/>
      <c r="N858"/>
      <c r="O858"/>
    </row>
    <row r="859" spans="1:15" s="205" customFormat="1">
      <c r="A859"/>
      <c r="C859" s="6"/>
      <c r="D859" s="6"/>
      <c r="E859" s="2"/>
      <c r="F859" s="2"/>
      <c r="G859" s="2"/>
      <c r="H859" s="2"/>
      <c r="I859" s="2"/>
      <c r="J859" s="4"/>
      <c r="K859" s="9"/>
      <c r="L859"/>
      <c r="M859"/>
      <c r="N859"/>
      <c r="O859"/>
    </row>
    <row r="860" spans="1:15" s="205" customFormat="1">
      <c r="A860"/>
      <c r="C860" s="6"/>
      <c r="D860" s="6"/>
      <c r="E860" s="2"/>
      <c r="F860" s="2"/>
      <c r="G860" s="2"/>
      <c r="H860" s="2"/>
      <c r="I860" s="2"/>
      <c r="J860" s="4"/>
      <c r="K860" s="9"/>
      <c r="L860"/>
      <c r="M860"/>
      <c r="N860"/>
      <c r="O860"/>
    </row>
    <row r="861" spans="1:15" s="205" customFormat="1">
      <c r="A861"/>
      <c r="C861" s="6"/>
      <c r="D861" s="6"/>
      <c r="E861" s="2"/>
      <c r="F861" s="2"/>
      <c r="G861" s="2"/>
      <c r="H861" s="2"/>
      <c r="I861" s="2"/>
      <c r="J861" s="4"/>
      <c r="K861" s="9"/>
      <c r="L861"/>
      <c r="M861"/>
      <c r="N861"/>
      <c r="O861"/>
    </row>
    <row r="862" spans="1:15" s="205" customFormat="1">
      <c r="A862"/>
      <c r="C862" s="6"/>
      <c r="D862" s="6"/>
      <c r="E862" s="2"/>
      <c r="F862" s="2"/>
      <c r="G862" s="2"/>
      <c r="H862" s="2"/>
      <c r="I862" s="2"/>
      <c r="J862" s="4"/>
      <c r="K862" s="9"/>
      <c r="L862"/>
      <c r="M862"/>
      <c r="N862"/>
      <c r="O862"/>
    </row>
    <row r="863" spans="1:15" s="205" customFormat="1">
      <c r="A863"/>
      <c r="C863" s="6"/>
      <c r="D863" s="6"/>
      <c r="E863" s="2"/>
      <c r="F863" s="2"/>
      <c r="G863" s="2"/>
      <c r="H863" s="2"/>
      <c r="I863" s="2"/>
      <c r="J863" s="4"/>
      <c r="K863" s="9"/>
      <c r="L863"/>
      <c r="M863"/>
      <c r="N863"/>
      <c r="O863"/>
    </row>
    <row r="864" spans="1:15" s="205" customFormat="1">
      <c r="A864"/>
      <c r="C864" s="6"/>
      <c r="D864" s="6"/>
      <c r="E864" s="2"/>
      <c r="F864" s="2"/>
      <c r="G864" s="2"/>
      <c r="H864" s="2"/>
      <c r="I864" s="2"/>
      <c r="J864" s="4"/>
      <c r="K864" s="9"/>
      <c r="L864"/>
      <c r="M864"/>
      <c r="N864"/>
      <c r="O864"/>
    </row>
    <row r="865" spans="1:15" s="205" customFormat="1">
      <c r="A865"/>
      <c r="C865" s="6"/>
      <c r="D865" s="6"/>
      <c r="E865" s="2"/>
      <c r="F865" s="2"/>
      <c r="G865" s="2"/>
      <c r="H865" s="2"/>
      <c r="I865" s="2"/>
      <c r="J865" s="4"/>
      <c r="K865" s="9"/>
      <c r="L865"/>
      <c r="M865"/>
      <c r="N865"/>
      <c r="O865"/>
    </row>
    <row r="866" spans="1:15" s="205" customFormat="1">
      <c r="A866"/>
      <c r="C866" s="6"/>
      <c r="D866" s="6"/>
      <c r="E866" s="2"/>
      <c r="F866" s="2"/>
      <c r="G866" s="2"/>
      <c r="H866" s="2"/>
      <c r="I866" s="2"/>
      <c r="J866" s="4"/>
      <c r="K866" s="9"/>
      <c r="L866"/>
      <c r="M866"/>
      <c r="N866"/>
      <c r="O866"/>
    </row>
  </sheetData>
  <mergeCells count="721">
    <mergeCell ref="B388:D388"/>
    <mergeCell ref="B389:E389"/>
    <mergeCell ref="B385:D385"/>
    <mergeCell ref="B386:D386"/>
    <mergeCell ref="A387:A389"/>
    <mergeCell ref="B387:D387"/>
    <mergeCell ref="B381:C381"/>
    <mergeCell ref="K381:L381"/>
    <mergeCell ref="B382:C382"/>
    <mergeCell ref="K382:L382"/>
    <mergeCell ref="B383:C383"/>
    <mergeCell ref="B384:C384"/>
    <mergeCell ref="K383:L383"/>
    <mergeCell ref="K384:L384"/>
    <mergeCell ref="K385:L385"/>
    <mergeCell ref="K386:L386"/>
    <mergeCell ref="K387:L387"/>
    <mergeCell ref="K388:L388"/>
    <mergeCell ref="K389:L389"/>
    <mergeCell ref="B377:C377"/>
    <mergeCell ref="K377:L377"/>
    <mergeCell ref="B378:C378"/>
    <mergeCell ref="B379:C379"/>
    <mergeCell ref="K379:L379"/>
    <mergeCell ref="B380:C380"/>
    <mergeCell ref="B373:C373"/>
    <mergeCell ref="K373:L373"/>
    <mergeCell ref="B374:C374"/>
    <mergeCell ref="K374:L374"/>
    <mergeCell ref="B375:C375"/>
    <mergeCell ref="B376:C376"/>
    <mergeCell ref="K376:L376"/>
    <mergeCell ref="K375:L375"/>
    <mergeCell ref="K378:L378"/>
    <mergeCell ref="B370:C370"/>
    <mergeCell ref="K370:L370"/>
    <mergeCell ref="B371:C371"/>
    <mergeCell ref="K371:L371"/>
    <mergeCell ref="B372:C372"/>
    <mergeCell ref="K372:L372"/>
    <mergeCell ref="B365:C365"/>
    <mergeCell ref="K365:L365"/>
    <mergeCell ref="B366:C366"/>
    <mergeCell ref="B367:C367"/>
    <mergeCell ref="B368:C368"/>
    <mergeCell ref="B369:C369"/>
    <mergeCell ref="K369:L369"/>
    <mergeCell ref="B362:C362"/>
    <mergeCell ref="K362:L362"/>
    <mergeCell ref="B363:C363"/>
    <mergeCell ref="K363:L363"/>
    <mergeCell ref="B364:C364"/>
    <mergeCell ref="K364:L364"/>
    <mergeCell ref="B359:C359"/>
    <mergeCell ref="K359:L359"/>
    <mergeCell ref="B360:C360"/>
    <mergeCell ref="K360:L360"/>
    <mergeCell ref="B361:C361"/>
    <mergeCell ref="K361:L361"/>
    <mergeCell ref="B356:C356"/>
    <mergeCell ref="K356:L356"/>
    <mergeCell ref="B357:C357"/>
    <mergeCell ref="K357:L357"/>
    <mergeCell ref="B358:C358"/>
    <mergeCell ref="K358:L358"/>
    <mergeCell ref="B353:C353"/>
    <mergeCell ref="K353:L353"/>
    <mergeCell ref="B354:C354"/>
    <mergeCell ref="K354:L354"/>
    <mergeCell ref="B355:C355"/>
    <mergeCell ref="K355:L355"/>
    <mergeCell ref="B349:C349"/>
    <mergeCell ref="B350:C350"/>
    <mergeCell ref="B351:C351"/>
    <mergeCell ref="B352:C352"/>
    <mergeCell ref="K352:L352"/>
    <mergeCell ref="K344:L346"/>
    <mergeCell ref="C345:D345"/>
    <mergeCell ref="C346:D346"/>
    <mergeCell ref="C347:D347"/>
    <mergeCell ref="K347:L347"/>
    <mergeCell ref="C348:D348"/>
    <mergeCell ref="K351:L351"/>
    <mergeCell ref="K350:L350"/>
    <mergeCell ref="K349:L349"/>
    <mergeCell ref="B341:C341"/>
    <mergeCell ref="B342:C342"/>
    <mergeCell ref="B343:C343"/>
    <mergeCell ref="A344:A348"/>
    <mergeCell ref="B344:B348"/>
    <mergeCell ref="C344:D344"/>
    <mergeCell ref="B338:C338"/>
    <mergeCell ref="K338:L338"/>
    <mergeCell ref="B339:C339"/>
    <mergeCell ref="K339:L339"/>
    <mergeCell ref="B340:C340"/>
    <mergeCell ref="K340:L340"/>
    <mergeCell ref="K343:L343"/>
    <mergeCell ref="K342:L342"/>
    <mergeCell ref="K341:L341"/>
    <mergeCell ref="B335:C335"/>
    <mergeCell ref="K335:L335"/>
    <mergeCell ref="B336:C336"/>
    <mergeCell ref="K336:L336"/>
    <mergeCell ref="B337:C337"/>
    <mergeCell ref="K337:L337"/>
    <mergeCell ref="B332:C332"/>
    <mergeCell ref="K332:L332"/>
    <mergeCell ref="B333:C333"/>
    <mergeCell ref="K333:L333"/>
    <mergeCell ref="B334:C334"/>
    <mergeCell ref="K334:L334"/>
    <mergeCell ref="B329:C329"/>
    <mergeCell ref="K329:L329"/>
    <mergeCell ref="B330:C330"/>
    <mergeCell ref="K330:L330"/>
    <mergeCell ref="B331:C331"/>
    <mergeCell ref="K331:L331"/>
    <mergeCell ref="B326:C326"/>
    <mergeCell ref="K326:L326"/>
    <mergeCell ref="B327:C327"/>
    <mergeCell ref="K327:L327"/>
    <mergeCell ref="B328:C328"/>
    <mergeCell ref="K328:L328"/>
    <mergeCell ref="B323:C323"/>
    <mergeCell ref="K323:L323"/>
    <mergeCell ref="B324:C324"/>
    <mergeCell ref="K324:L324"/>
    <mergeCell ref="B325:C325"/>
    <mergeCell ref="K325:L325"/>
    <mergeCell ref="B320:C320"/>
    <mergeCell ref="K320:L320"/>
    <mergeCell ref="B321:C321"/>
    <mergeCell ref="K321:L321"/>
    <mergeCell ref="B322:C322"/>
    <mergeCell ref="K322:L322"/>
    <mergeCell ref="B317:C317"/>
    <mergeCell ref="K317:L317"/>
    <mergeCell ref="B318:C318"/>
    <mergeCell ref="K318:L318"/>
    <mergeCell ref="B319:C319"/>
    <mergeCell ref="K319:L319"/>
    <mergeCell ref="B314:C314"/>
    <mergeCell ref="K314:L314"/>
    <mergeCell ref="B315:C315"/>
    <mergeCell ref="K315:L315"/>
    <mergeCell ref="B316:C316"/>
    <mergeCell ref="K316:L316"/>
    <mergeCell ref="B311:C311"/>
    <mergeCell ref="K311:L311"/>
    <mergeCell ref="B312:C312"/>
    <mergeCell ref="K312:L312"/>
    <mergeCell ref="B313:C313"/>
    <mergeCell ref="K313:L313"/>
    <mergeCell ref="B308:C308"/>
    <mergeCell ref="K308:L308"/>
    <mergeCell ref="B309:C309"/>
    <mergeCell ref="K309:L309"/>
    <mergeCell ref="B310:C310"/>
    <mergeCell ref="K310:L310"/>
    <mergeCell ref="B305:C305"/>
    <mergeCell ref="K305:L305"/>
    <mergeCell ref="B306:C306"/>
    <mergeCell ref="K306:L306"/>
    <mergeCell ref="B307:C307"/>
    <mergeCell ref="K307:L307"/>
    <mergeCell ref="B302:C302"/>
    <mergeCell ref="K302:L302"/>
    <mergeCell ref="B303:C303"/>
    <mergeCell ref="K303:L303"/>
    <mergeCell ref="B304:C304"/>
    <mergeCell ref="K304:L304"/>
    <mergeCell ref="B299:C299"/>
    <mergeCell ref="K299:L299"/>
    <mergeCell ref="B300:C300"/>
    <mergeCell ref="K300:L300"/>
    <mergeCell ref="B301:C301"/>
    <mergeCell ref="K301:L301"/>
    <mergeCell ref="B296:C296"/>
    <mergeCell ref="K296:L296"/>
    <mergeCell ref="B297:C297"/>
    <mergeCell ref="K297:L297"/>
    <mergeCell ref="B298:C298"/>
    <mergeCell ref="K298:L298"/>
    <mergeCell ref="B293:C293"/>
    <mergeCell ref="K293:L293"/>
    <mergeCell ref="B294:C294"/>
    <mergeCell ref="K294:L294"/>
    <mergeCell ref="B295:C295"/>
    <mergeCell ref="K295:L295"/>
    <mergeCell ref="B290:C290"/>
    <mergeCell ref="K290:L290"/>
    <mergeCell ref="B291:C291"/>
    <mergeCell ref="K291:L291"/>
    <mergeCell ref="B292:C292"/>
    <mergeCell ref="K292:L292"/>
    <mergeCell ref="B286:C286"/>
    <mergeCell ref="K286:L286"/>
    <mergeCell ref="B287:C287"/>
    <mergeCell ref="B288:C288"/>
    <mergeCell ref="K288:L288"/>
    <mergeCell ref="B289:C289"/>
    <mergeCell ref="K289:L289"/>
    <mergeCell ref="B283:C283"/>
    <mergeCell ref="K283:L283"/>
    <mergeCell ref="B284:C284"/>
    <mergeCell ref="K284:L284"/>
    <mergeCell ref="B285:C285"/>
    <mergeCell ref="K285:L285"/>
    <mergeCell ref="B280:C280"/>
    <mergeCell ref="K280:L280"/>
    <mergeCell ref="B281:C281"/>
    <mergeCell ref="K281:L281"/>
    <mergeCell ref="B282:C282"/>
    <mergeCell ref="K282:L282"/>
    <mergeCell ref="B274:C274"/>
    <mergeCell ref="B275:C275"/>
    <mergeCell ref="B276:C276"/>
    <mergeCell ref="B277:C277"/>
    <mergeCell ref="B278:C278"/>
    <mergeCell ref="B279:C279"/>
    <mergeCell ref="B268:C268"/>
    <mergeCell ref="B269:C269"/>
    <mergeCell ref="B270:C270"/>
    <mergeCell ref="B271:C271"/>
    <mergeCell ref="B272:C272"/>
    <mergeCell ref="B273:C273"/>
    <mergeCell ref="B262:C262"/>
    <mergeCell ref="B263:C263"/>
    <mergeCell ref="B264:C264"/>
    <mergeCell ref="B265:C265"/>
    <mergeCell ref="B266:C266"/>
    <mergeCell ref="B267:C267"/>
    <mergeCell ref="B256:C256"/>
    <mergeCell ref="B257:C257"/>
    <mergeCell ref="B258:C258"/>
    <mergeCell ref="B259:C259"/>
    <mergeCell ref="B260:C260"/>
    <mergeCell ref="B261:C261"/>
    <mergeCell ref="B250:C250"/>
    <mergeCell ref="B251:C251"/>
    <mergeCell ref="B252:C252"/>
    <mergeCell ref="B253:C253"/>
    <mergeCell ref="B254:C254"/>
    <mergeCell ref="B255:C255"/>
    <mergeCell ref="B244:C244"/>
    <mergeCell ref="B245:C245"/>
    <mergeCell ref="B246:C246"/>
    <mergeCell ref="B247:C247"/>
    <mergeCell ref="B248:C248"/>
    <mergeCell ref="B249:C249"/>
    <mergeCell ref="B238:C238"/>
    <mergeCell ref="B239:C239"/>
    <mergeCell ref="B240:C240"/>
    <mergeCell ref="B241:C241"/>
    <mergeCell ref="B242:C242"/>
    <mergeCell ref="B243:C243"/>
    <mergeCell ref="B232:C232"/>
    <mergeCell ref="B233:C233"/>
    <mergeCell ref="B234:C234"/>
    <mergeCell ref="B235:C235"/>
    <mergeCell ref="B236:C236"/>
    <mergeCell ref="B237:C237"/>
    <mergeCell ref="B226:C226"/>
    <mergeCell ref="B227:C227"/>
    <mergeCell ref="B228:C228"/>
    <mergeCell ref="B229:C229"/>
    <mergeCell ref="B230:C230"/>
    <mergeCell ref="B231:C231"/>
    <mergeCell ref="B220:C220"/>
    <mergeCell ref="B221:C221"/>
    <mergeCell ref="B222:C222"/>
    <mergeCell ref="B223:C223"/>
    <mergeCell ref="B224:C224"/>
    <mergeCell ref="B225:C225"/>
    <mergeCell ref="B217:C217"/>
    <mergeCell ref="K217:L217"/>
    <mergeCell ref="B218:C218"/>
    <mergeCell ref="K218:L218"/>
    <mergeCell ref="B219:C219"/>
    <mergeCell ref="K219:L219"/>
    <mergeCell ref="B214:C214"/>
    <mergeCell ref="K214:L214"/>
    <mergeCell ref="B215:C215"/>
    <mergeCell ref="K215:L215"/>
    <mergeCell ref="B216:C216"/>
    <mergeCell ref="K216:L216"/>
    <mergeCell ref="B211:C211"/>
    <mergeCell ref="K211:L211"/>
    <mergeCell ref="B212:C212"/>
    <mergeCell ref="K212:L212"/>
    <mergeCell ref="B213:C213"/>
    <mergeCell ref="K213:L213"/>
    <mergeCell ref="B208:C208"/>
    <mergeCell ref="K208:L208"/>
    <mergeCell ref="B209:C209"/>
    <mergeCell ref="K209:L209"/>
    <mergeCell ref="B210:C210"/>
    <mergeCell ref="K210:L210"/>
    <mergeCell ref="B205:C205"/>
    <mergeCell ref="K205:L205"/>
    <mergeCell ref="B206:C206"/>
    <mergeCell ref="K206:L206"/>
    <mergeCell ref="B207:C207"/>
    <mergeCell ref="K207:L207"/>
    <mergeCell ref="B202:C202"/>
    <mergeCell ref="K202:L202"/>
    <mergeCell ref="B203:C203"/>
    <mergeCell ref="K203:L203"/>
    <mergeCell ref="B204:C204"/>
    <mergeCell ref="K204:L204"/>
    <mergeCell ref="B199:C199"/>
    <mergeCell ref="K199:L199"/>
    <mergeCell ref="B200:C200"/>
    <mergeCell ref="K200:L200"/>
    <mergeCell ref="B201:C201"/>
    <mergeCell ref="K201:L201"/>
    <mergeCell ref="B196:C196"/>
    <mergeCell ref="K196:L196"/>
    <mergeCell ref="B197:C197"/>
    <mergeCell ref="K197:L197"/>
    <mergeCell ref="B198:C198"/>
    <mergeCell ref="K198:L198"/>
    <mergeCell ref="B193:C193"/>
    <mergeCell ref="K193:L193"/>
    <mergeCell ref="B194:C194"/>
    <mergeCell ref="K194:L194"/>
    <mergeCell ref="B195:C195"/>
    <mergeCell ref="K195:L195"/>
    <mergeCell ref="B190:C190"/>
    <mergeCell ref="K190:L190"/>
    <mergeCell ref="B191:C191"/>
    <mergeCell ref="K191:L191"/>
    <mergeCell ref="B192:C192"/>
    <mergeCell ref="K192:L192"/>
    <mergeCell ref="B187:C187"/>
    <mergeCell ref="K187:L187"/>
    <mergeCell ref="B188:C188"/>
    <mergeCell ref="K188:L188"/>
    <mergeCell ref="B189:C189"/>
    <mergeCell ref="K189:L189"/>
    <mergeCell ref="B184:C184"/>
    <mergeCell ref="K184:L184"/>
    <mergeCell ref="B185:C185"/>
    <mergeCell ref="K185:L185"/>
    <mergeCell ref="B186:C186"/>
    <mergeCell ref="K186:L186"/>
    <mergeCell ref="B181:C181"/>
    <mergeCell ref="K181:L181"/>
    <mergeCell ref="B182:C182"/>
    <mergeCell ref="K182:L182"/>
    <mergeCell ref="B183:C183"/>
    <mergeCell ref="K183:L183"/>
    <mergeCell ref="B178:C178"/>
    <mergeCell ref="K178:L178"/>
    <mergeCell ref="B179:C179"/>
    <mergeCell ref="K179:L179"/>
    <mergeCell ref="B180:C180"/>
    <mergeCell ref="K180:L180"/>
    <mergeCell ref="B175:C175"/>
    <mergeCell ref="K175:L175"/>
    <mergeCell ref="B176:C176"/>
    <mergeCell ref="K176:L176"/>
    <mergeCell ref="B177:C177"/>
    <mergeCell ref="K177:L177"/>
    <mergeCell ref="B172:C172"/>
    <mergeCell ref="K172:L172"/>
    <mergeCell ref="B173:C173"/>
    <mergeCell ref="K173:L173"/>
    <mergeCell ref="B174:C174"/>
    <mergeCell ref="K174:L174"/>
    <mergeCell ref="B169:C169"/>
    <mergeCell ref="K169:L169"/>
    <mergeCell ref="B170:C170"/>
    <mergeCell ref="K170:L170"/>
    <mergeCell ref="B171:C171"/>
    <mergeCell ref="K171:L171"/>
    <mergeCell ref="B166:C166"/>
    <mergeCell ref="K166:L166"/>
    <mergeCell ref="B167:C167"/>
    <mergeCell ref="K167:L167"/>
    <mergeCell ref="B168:C168"/>
    <mergeCell ref="K168:L168"/>
    <mergeCell ref="B163:C163"/>
    <mergeCell ref="K163:L163"/>
    <mergeCell ref="B164:C164"/>
    <mergeCell ref="K164:L164"/>
    <mergeCell ref="B165:C165"/>
    <mergeCell ref="K165:L165"/>
    <mergeCell ref="B160:C160"/>
    <mergeCell ref="K160:L160"/>
    <mergeCell ref="B161:C161"/>
    <mergeCell ref="K161:L161"/>
    <mergeCell ref="B162:C162"/>
    <mergeCell ref="K162:L162"/>
    <mergeCell ref="B157:C157"/>
    <mergeCell ref="K157:L157"/>
    <mergeCell ref="B158:C158"/>
    <mergeCell ref="K158:L158"/>
    <mergeCell ref="B159:C159"/>
    <mergeCell ref="K159:L159"/>
    <mergeCell ref="B154:C154"/>
    <mergeCell ref="K154:L154"/>
    <mergeCell ref="B155:C155"/>
    <mergeCell ref="K155:L155"/>
    <mergeCell ref="B156:C156"/>
    <mergeCell ref="K156:L156"/>
    <mergeCell ref="B151:C151"/>
    <mergeCell ref="K151:L151"/>
    <mergeCell ref="B152:C152"/>
    <mergeCell ref="K152:L152"/>
    <mergeCell ref="B153:C153"/>
    <mergeCell ref="K153:L153"/>
    <mergeCell ref="B148:C148"/>
    <mergeCell ref="K148:L148"/>
    <mergeCell ref="B149:C149"/>
    <mergeCell ref="K149:L149"/>
    <mergeCell ref="B150:C150"/>
    <mergeCell ref="K150:L150"/>
    <mergeCell ref="B145:C145"/>
    <mergeCell ref="K145:L145"/>
    <mergeCell ref="B146:C146"/>
    <mergeCell ref="K146:L146"/>
    <mergeCell ref="B147:C147"/>
    <mergeCell ref="K147:L147"/>
    <mergeCell ref="B142:C142"/>
    <mergeCell ref="K142:L142"/>
    <mergeCell ref="B143:C143"/>
    <mergeCell ref="K143:L143"/>
    <mergeCell ref="B144:C144"/>
    <mergeCell ref="K144:L144"/>
    <mergeCell ref="B139:C139"/>
    <mergeCell ref="K139:L139"/>
    <mergeCell ref="B140:C140"/>
    <mergeCell ref="K140:L140"/>
    <mergeCell ref="B141:C141"/>
    <mergeCell ref="K141:L141"/>
    <mergeCell ref="B136:C136"/>
    <mergeCell ref="K136:L136"/>
    <mergeCell ref="B137:C137"/>
    <mergeCell ref="K137:L137"/>
    <mergeCell ref="B138:C138"/>
    <mergeCell ref="K138:L138"/>
    <mergeCell ref="B133:C133"/>
    <mergeCell ref="K133:L133"/>
    <mergeCell ref="B134:C134"/>
    <mergeCell ref="K134:L134"/>
    <mergeCell ref="B135:C135"/>
    <mergeCell ref="K135:L135"/>
    <mergeCell ref="B130:C130"/>
    <mergeCell ref="K130:L130"/>
    <mergeCell ref="B131:C131"/>
    <mergeCell ref="K131:L131"/>
    <mergeCell ref="B132:C132"/>
    <mergeCell ref="K132:L132"/>
    <mergeCell ref="B127:C127"/>
    <mergeCell ref="K127:L127"/>
    <mergeCell ref="B128:C128"/>
    <mergeCell ref="K128:L128"/>
    <mergeCell ref="B129:C129"/>
    <mergeCell ref="K129:L129"/>
    <mergeCell ref="B124:C124"/>
    <mergeCell ref="K124:L124"/>
    <mergeCell ref="B125:C125"/>
    <mergeCell ref="K125:L125"/>
    <mergeCell ref="B126:C126"/>
    <mergeCell ref="K126:L126"/>
    <mergeCell ref="B121:C121"/>
    <mergeCell ref="K121:L121"/>
    <mergeCell ref="B122:C122"/>
    <mergeCell ref="K122:L122"/>
    <mergeCell ref="B123:C123"/>
    <mergeCell ref="K123:L123"/>
    <mergeCell ref="B118:C118"/>
    <mergeCell ref="K118:L118"/>
    <mergeCell ref="B119:C119"/>
    <mergeCell ref="K119:L119"/>
    <mergeCell ref="B120:C120"/>
    <mergeCell ref="K120:L120"/>
    <mergeCell ref="B115:C115"/>
    <mergeCell ref="K115:L115"/>
    <mergeCell ref="B116:C116"/>
    <mergeCell ref="K116:L116"/>
    <mergeCell ref="B117:C117"/>
    <mergeCell ref="K117:L117"/>
    <mergeCell ref="B112:C112"/>
    <mergeCell ref="K112:L112"/>
    <mergeCell ref="B113:C113"/>
    <mergeCell ref="K113:L113"/>
    <mergeCell ref="B114:C114"/>
    <mergeCell ref="K114:L114"/>
    <mergeCell ref="B109:C109"/>
    <mergeCell ref="K109:L109"/>
    <mergeCell ref="B110:C110"/>
    <mergeCell ref="K110:L110"/>
    <mergeCell ref="B111:C111"/>
    <mergeCell ref="K111:L111"/>
    <mergeCell ref="B106:C106"/>
    <mergeCell ref="K106:L106"/>
    <mergeCell ref="B107:C107"/>
    <mergeCell ref="K107:L107"/>
    <mergeCell ref="B108:C108"/>
    <mergeCell ref="K108:L108"/>
    <mergeCell ref="B103:C103"/>
    <mergeCell ref="K103:L103"/>
    <mergeCell ref="B104:C104"/>
    <mergeCell ref="K104:L104"/>
    <mergeCell ref="B105:C105"/>
    <mergeCell ref="K105:L105"/>
    <mergeCell ref="B100:C100"/>
    <mergeCell ref="K100:L100"/>
    <mergeCell ref="B101:C101"/>
    <mergeCell ref="K101:L101"/>
    <mergeCell ref="B102:C102"/>
    <mergeCell ref="K102:L102"/>
    <mergeCell ref="B97:C97"/>
    <mergeCell ref="K97:L97"/>
    <mergeCell ref="B98:C98"/>
    <mergeCell ref="K98:L98"/>
    <mergeCell ref="B99:C99"/>
    <mergeCell ref="K99:L99"/>
    <mergeCell ref="B94:C94"/>
    <mergeCell ref="K94:L94"/>
    <mergeCell ref="B95:C95"/>
    <mergeCell ref="K95:L95"/>
    <mergeCell ref="B96:C96"/>
    <mergeCell ref="K96:L96"/>
    <mergeCell ref="B91:C91"/>
    <mergeCell ref="K91:L91"/>
    <mergeCell ref="B92:C92"/>
    <mergeCell ref="K92:L92"/>
    <mergeCell ref="B93:C93"/>
    <mergeCell ref="K93:L93"/>
    <mergeCell ref="B88:C88"/>
    <mergeCell ref="K88:L88"/>
    <mergeCell ref="B89:C89"/>
    <mergeCell ref="K89:L89"/>
    <mergeCell ref="B90:C90"/>
    <mergeCell ref="K90:L90"/>
    <mergeCell ref="B85:C85"/>
    <mergeCell ref="K85:L85"/>
    <mergeCell ref="B86:C86"/>
    <mergeCell ref="K86:L86"/>
    <mergeCell ref="B87:C87"/>
    <mergeCell ref="K87:L87"/>
    <mergeCell ref="B82:C82"/>
    <mergeCell ref="K82:L82"/>
    <mergeCell ref="B83:C83"/>
    <mergeCell ref="K83:L83"/>
    <mergeCell ref="B84:C84"/>
    <mergeCell ref="K84:L84"/>
    <mergeCell ref="B79:C79"/>
    <mergeCell ref="K79:L79"/>
    <mergeCell ref="B80:C80"/>
    <mergeCell ref="K80:L80"/>
    <mergeCell ref="B81:C81"/>
    <mergeCell ref="K81:L81"/>
    <mergeCell ref="B76:C76"/>
    <mergeCell ref="K76:L76"/>
    <mergeCell ref="B77:C77"/>
    <mergeCell ref="K77:L77"/>
    <mergeCell ref="B78:C78"/>
    <mergeCell ref="K78:L78"/>
    <mergeCell ref="B73:C73"/>
    <mergeCell ref="K73:L73"/>
    <mergeCell ref="B74:C74"/>
    <mergeCell ref="K74:L74"/>
    <mergeCell ref="B75:C75"/>
    <mergeCell ref="K75:L75"/>
    <mergeCell ref="B70:C70"/>
    <mergeCell ref="K70:L70"/>
    <mergeCell ref="B71:C71"/>
    <mergeCell ref="K71:L71"/>
    <mergeCell ref="B72:C72"/>
    <mergeCell ref="K72:L72"/>
    <mergeCell ref="B67:C67"/>
    <mergeCell ref="K67:L67"/>
    <mergeCell ref="B68:C68"/>
    <mergeCell ref="K68:L68"/>
    <mergeCell ref="B69:C69"/>
    <mergeCell ref="K69:L69"/>
    <mergeCell ref="B64:C64"/>
    <mergeCell ref="K64:L64"/>
    <mergeCell ref="B65:C65"/>
    <mergeCell ref="K65:L65"/>
    <mergeCell ref="B66:C66"/>
    <mergeCell ref="K66:L66"/>
    <mergeCell ref="B60:C60"/>
    <mergeCell ref="B61:C61"/>
    <mergeCell ref="K61:L61"/>
    <mergeCell ref="B62:C62"/>
    <mergeCell ref="K62:L62"/>
    <mergeCell ref="B63:C63"/>
    <mergeCell ref="K63:L63"/>
    <mergeCell ref="K60:L60"/>
    <mergeCell ref="B57:C57"/>
    <mergeCell ref="K57:L57"/>
    <mergeCell ref="B58:C58"/>
    <mergeCell ref="K58:L58"/>
    <mergeCell ref="B59:C59"/>
    <mergeCell ref="K59:L59"/>
    <mergeCell ref="B54:C54"/>
    <mergeCell ref="K54:L54"/>
    <mergeCell ref="B55:C55"/>
    <mergeCell ref="K55:L55"/>
    <mergeCell ref="B56:C56"/>
    <mergeCell ref="K56:L56"/>
    <mergeCell ref="B51:C51"/>
    <mergeCell ref="K51:L51"/>
    <mergeCell ref="B52:C52"/>
    <mergeCell ref="K52:L52"/>
    <mergeCell ref="B53:C53"/>
    <mergeCell ref="K53:L53"/>
    <mergeCell ref="B48:C48"/>
    <mergeCell ref="K48:L48"/>
    <mergeCell ref="B49:C49"/>
    <mergeCell ref="K49:L49"/>
    <mergeCell ref="B50:C50"/>
    <mergeCell ref="K50:L50"/>
    <mergeCell ref="B45:C45"/>
    <mergeCell ref="K45:L45"/>
    <mergeCell ref="B46:C46"/>
    <mergeCell ref="K46:L46"/>
    <mergeCell ref="B47:C47"/>
    <mergeCell ref="K47:L47"/>
    <mergeCell ref="B42:C42"/>
    <mergeCell ref="K42:L42"/>
    <mergeCell ref="B43:C43"/>
    <mergeCell ref="K43:L43"/>
    <mergeCell ref="B44:C44"/>
    <mergeCell ref="K44:L44"/>
    <mergeCell ref="B39:C39"/>
    <mergeCell ref="K39:L39"/>
    <mergeCell ref="B40:C40"/>
    <mergeCell ref="K40:L40"/>
    <mergeCell ref="B41:C41"/>
    <mergeCell ref="K41:L41"/>
    <mergeCell ref="B36:C36"/>
    <mergeCell ref="K36:L36"/>
    <mergeCell ref="B37:C37"/>
    <mergeCell ref="K37:L37"/>
    <mergeCell ref="B38:C38"/>
    <mergeCell ref="K38:L38"/>
    <mergeCell ref="B32:C32"/>
    <mergeCell ref="K32:L32"/>
    <mergeCell ref="B33:C33"/>
    <mergeCell ref="K33:L33"/>
    <mergeCell ref="B34:C34"/>
    <mergeCell ref="B35:C35"/>
    <mergeCell ref="K35:L35"/>
    <mergeCell ref="B28:C28"/>
    <mergeCell ref="K28:L29"/>
    <mergeCell ref="B29:C29"/>
    <mergeCell ref="B30:C30"/>
    <mergeCell ref="K30:L30"/>
    <mergeCell ref="B31:C31"/>
    <mergeCell ref="K31:L31"/>
    <mergeCell ref="B24:C24"/>
    <mergeCell ref="K24:L24"/>
    <mergeCell ref="B25:C25"/>
    <mergeCell ref="K25:L25"/>
    <mergeCell ref="B26:C26"/>
    <mergeCell ref="B27:C27"/>
    <mergeCell ref="K20:L20"/>
    <mergeCell ref="C21:D21"/>
    <mergeCell ref="K21:L21"/>
    <mergeCell ref="C22:D22"/>
    <mergeCell ref="K22:L22"/>
    <mergeCell ref="B23:C23"/>
    <mergeCell ref="K23:L23"/>
    <mergeCell ref="B17:D17"/>
    <mergeCell ref="K17:L17"/>
    <mergeCell ref="A18:A22"/>
    <mergeCell ref="B18:B22"/>
    <mergeCell ref="C18:D18"/>
    <mergeCell ref="K18:L18"/>
    <mergeCell ref="C19:D19"/>
    <mergeCell ref="K19:L19"/>
    <mergeCell ref="C20:D20"/>
    <mergeCell ref="K11:L12"/>
    <mergeCell ref="A13:E13"/>
    <mergeCell ref="K13:L13"/>
    <mergeCell ref="A14:A16"/>
    <mergeCell ref="B14:B16"/>
    <mergeCell ref="C14:D14"/>
    <mergeCell ref="K14:L14"/>
    <mergeCell ref="C15:D15"/>
    <mergeCell ref="K15:L15"/>
    <mergeCell ref="C16:D16"/>
    <mergeCell ref="E11:E12"/>
    <mergeCell ref="F11:F12"/>
    <mergeCell ref="G11:G12"/>
    <mergeCell ref="H11:H12"/>
    <mergeCell ref="I11:I12"/>
    <mergeCell ref="J11:J12"/>
    <mergeCell ref="K16:L16"/>
    <mergeCell ref="A10:B10"/>
    <mergeCell ref="C10:D10"/>
    <mergeCell ref="A11:A12"/>
    <mergeCell ref="B11:B12"/>
    <mergeCell ref="C11:C12"/>
    <mergeCell ref="D11:D12"/>
    <mergeCell ref="A7:B7"/>
    <mergeCell ref="C7:D7"/>
    <mergeCell ref="A8:B8"/>
    <mergeCell ref="C8:D8"/>
    <mergeCell ref="K1:L1"/>
    <mergeCell ref="K2:L2"/>
    <mergeCell ref="I3:J3"/>
    <mergeCell ref="K3:L3"/>
    <mergeCell ref="I4:J4"/>
    <mergeCell ref="K4:L4"/>
    <mergeCell ref="G8:H8"/>
    <mergeCell ref="A9:B9"/>
    <mergeCell ref="C9:D9"/>
    <mergeCell ref="A5:B5"/>
    <mergeCell ref="C5:D5"/>
    <mergeCell ref="G5:H5"/>
    <mergeCell ref="A6:B6"/>
    <mergeCell ref="C6:D6"/>
    <mergeCell ref="G6:H6"/>
  </mergeCells>
  <printOptions horizontalCentered="1"/>
  <pageMargins left="0" right="0" top="0.25" bottom="0.25" header="0" footer="0"/>
  <pageSetup scale="85" fitToHeight="0" orientation="portrait" horizontalDpi="300" verticalDpi="300" r:id="rId1"/>
  <headerFooter alignWithMargins="0">
    <oddHeader>&amp;L&amp;"Calibri"&amp;9&amp;K000000Classification: Internal&amp;1#</oddHead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5965A-E041-4B3B-997E-B3821BBEFB4F}">
  <sheetPr codeName="Sheet3">
    <tabColor rgb="FF0070C0"/>
  </sheetPr>
  <dimension ref="A1:O869"/>
  <sheetViews>
    <sheetView showGridLines="0" defaultGridColor="0" topLeftCell="A373" colorId="10" zoomScaleNormal="100" zoomScaleSheetLayoutView="100" workbookViewId="0">
      <selection activeCell="A384" sqref="A384:XFD384"/>
    </sheetView>
  </sheetViews>
  <sheetFormatPr defaultColWidth="11.42578125" defaultRowHeight="12.75"/>
  <cols>
    <col min="1" max="1" width="9.28515625" style="1" customWidth="1"/>
    <col min="2" max="2" width="5.7109375" style="205" customWidth="1"/>
    <col min="3" max="3" width="8.7109375" style="6" customWidth="1"/>
    <col min="4" max="4" width="8.5703125" style="6" customWidth="1"/>
    <col min="5" max="5" width="8.140625" style="2" customWidth="1"/>
    <col min="6" max="6" width="10.85546875" style="2" customWidth="1"/>
    <col min="7" max="7" width="8" style="2" customWidth="1"/>
    <col min="8" max="8" width="9.7109375" style="2" customWidth="1"/>
    <col min="9" max="9" width="10" style="2" customWidth="1"/>
    <col min="10" max="10" width="13.5703125" style="4" customWidth="1"/>
    <col min="11" max="11" width="12.5703125" style="9" customWidth="1"/>
    <col min="12" max="12" width="12" customWidth="1"/>
  </cols>
  <sheetData>
    <row r="1" spans="1:15" ht="18.75" thickBot="1">
      <c r="A1" s="18"/>
      <c r="B1" s="135"/>
      <c r="C1" s="136"/>
      <c r="D1" s="137"/>
      <c r="E1" s="138"/>
      <c r="F1" s="139"/>
      <c r="G1" s="138"/>
      <c r="H1" s="140" t="s">
        <v>13</v>
      </c>
      <c r="I1" s="141"/>
      <c r="J1" s="142"/>
      <c r="K1" s="579" t="s">
        <v>176</v>
      </c>
      <c r="L1" s="580"/>
    </row>
    <row r="2" spans="1:15" ht="15" customHeight="1">
      <c r="A2" s="134"/>
      <c r="B2" s="155"/>
      <c r="C2" s="12"/>
      <c r="D2" s="12"/>
      <c r="E2" s="3"/>
      <c r="F2" s="16"/>
      <c r="G2" s="3"/>
      <c r="H2" s="13" t="s">
        <v>92</v>
      </c>
      <c r="I2" s="7"/>
      <c r="J2" s="242" t="s">
        <v>12</v>
      </c>
      <c r="K2" s="408">
        <v>43656</v>
      </c>
      <c r="L2" s="409"/>
    </row>
    <row r="3" spans="1:15" ht="15.6" customHeight="1">
      <c r="A3" s="143"/>
      <c r="B3" s="15"/>
      <c r="C3" s="5"/>
      <c r="D3" s="8"/>
      <c r="E3" s="3"/>
      <c r="I3" s="410" t="s">
        <v>97</v>
      </c>
      <c r="J3" s="410"/>
      <c r="K3" s="411" t="s">
        <v>144</v>
      </c>
      <c r="L3" s="412"/>
    </row>
    <row r="4" spans="1:15" ht="15.6" customHeight="1" thickBot="1">
      <c r="A4" s="144"/>
      <c r="B4" s="155"/>
      <c r="C4" s="5"/>
      <c r="D4" s="8"/>
      <c r="E4" s="3"/>
      <c r="I4" s="410" t="s">
        <v>98</v>
      </c>
      <c r="J4" s="410"/>
      <c r="K4" s="411" t="s">
        <v>85</v>
      </c>
      <c r="L4" s="412"/>
    </row>
    <row r="5" spans="1:15" ht="15.6" customHeight="1" thickBot="1">
      <c r="A5" s="419" t="s">
        <v>68</v>
      </c>
      <c r="B5" s="420"/>
      <c r="C5" s="421" t="s">
        <v>70</v>
      </c>
      <c r="D5" s="422"/>
      <c r="E5" s="3"/>
      <c r="F5" s="263" t="s">
        <v>0</v>
      </c>
      <c r="G5" s="423" t="s">
        <v>126</v>
      </c>
      <c r="H5" s="424"/>
      <c r="I5" s="7"/>
      <c r="J5" s="242" t="s">
        <v>82</v>
      </c>
      <c r="K5" s="285">
        <v>11820.84</v>
      </c>
      <c r="L5" s="133"/>
    </row>
    <row r="6" spans="1:15" ht="15.6" customHeight="1" thickBot="1">
      <c r="A6" s="415" t="s">
        <v>103</v>
      </c>
      <c r="B6" s="416"/>
      <c r="C6" s="425">
        <v>6.2759999999999998</v>
      </c>
      <c r="D6" s="426"/>
      <c r="E6" s="3"/>
      <c r="F6" s="264" t="s">
        <v>1</v>
      </c>
      <c r="G6" s="427" t="s">
        <v>127</v>
      </c>
      <c r="H6" s="428"/>
      <c r="I6" s="7"/>
      <c r="J6" s="242" t="s">
        <v>81</v>
      </c>
      <c r="K6" s="286">
        <f>K5-H13</f>
        <v>11818.84</v>
      </c>
      <c r="L6" s="133"/>
    </row>
    <row r="7" spans="1:15" ht="15.6" customHeight="1" thickBot="1">
      <c r="A7" s="415" t="s">
        <v>102</v>
      </c>
      <c r="B7" s="416"/>
      <c r="C7" s="425">
        <v>6.1509999999999998</v>
      </c>
      <c r="D7" s="426"/>
      <c r="E7" s="3"/>
      <c r="F7" s="264" t="s">
        <v>2</v>
      </c>
      <c r="G7" s="291">
        <v>127</v>
      </c>
      <c r="H7" s="261"/>
      <c r="I7" s="8"/>
      <c r="J7" s="242" t="s">
        <v>96</v>
      </c>
      <c r="K7" s="287">
        <v>21399</v>
      </c>
      <c r="L7" s="133"/>
      <c r="M7" s="147"/>
    </row>
    <row r="8" spans="1:15" ht="15.6" customHeight="1" thickBot="1">
      <c r="A8" s="415" t="s">
        <v>3</v>
      </c>
      <c r="B8" s="416"/>
      <c r="C8" s="441">
        <v>26</v>
      </c>
      <c r="D8" s="442"/>
      <c r="E8" s="3"/>
      <c r="F8" s="264" t="s">
        <v>4</v>
      </c>
      <c r="G8" s="413">
        <v>10.8</v>
      </c>
      <c r="H8" s="414"/>
      <c r="I8" s="7"/>
      <c r="J8" s="242" t="s">
        <v>95</v>
      </c>
      <c r="K8" s="288">
        <v>21392</v>
      </c>
      <c r="L8" s="133"/>
      <c r="M8" s="147"/>
    </row>
    <row r="9" spans="1:15" ht="15.6" customHeight="1" thickBot="1">
      <c r="A9" s="415" t="s">
        <v>5</v>
      </c>
      <c r="B9" s="416"/>
      <c r="C9" s="417" t="s">
        <v>69</v>
      </c>
      <c r="D9" s="418"/>
      <c r="E9" s="3"/>
      <c r="F9" s="264" t="s">
        <v>138</v>
      </c>
      <c r="G9" s="292" t="s">
        <v>137</v>
      </c>
      <c r="H9" s="293"/>
      <c r="I9" s="7"/>
      <c r="J9" s="242" t="s">
        <v>140</v>
      </c>
      <c r="K9" s="289">
        <f>K6+F14</f>
        <v>11838.39</v>
      </c>
      <c r="L9" s="133"/>
    </row>
    <row r="10" spans="1:15" ht="15.6" customHeight="1" thickBot="1">
      <c r="A10" s="429" t="s">
        <v>9</v>
      </c>
      <c r="B10" s="430"/>
      <c r="C10" s="431">
        <f>4.776/12</f>
        <v>0.39799999999999996</v>
      </c>
      <c r="D10" s="432"/>
      <c r="E10" s="3"/>
      <c r="F10" s="265" t="s">
        <v>6</v>
      </c>
      <c r="G10" s="294">
        <f>(65.45-G8)/65.45</f>
        <v>0.83498854087089391</v>
      </c>
      <c r="H10" s="262"/>
      <c r="I10" s="145"/>
      <c r="J10" s="146" t="s">
        <v>139</v>
      </c>
      <c r="K10" s="290">
        <f>I346</f>
        <v>1214.0772500000003</v>
      </c>
      <c r="L10" s="206"/>
    </row>
    <row r="11" spans="1:15">
      <c r="A11" s="433" t="s">
        <v>58</v>
      </c>
      <c r="B11" s="435" t="s">
        <v>59</v>
      </c>
      <c r="C11" s="437" t="s">
        <v>60</v>
      </c>
      <c r="D11" s="439" t="s">
        <v>61</v>
      </c>
      <c r="E11" s="467" t="s">
        <v>62</v>
      </c>
      <c r="F11" s="469" t="s">
        <v>63</v>
      </c>
      <c r="G11" s="469" t="s">
        <v>64</v>
      </c>
      <c r="H11" s="469" t="s">
        <v>65</v>
      </c>
      <c r="I11" s="467" t="s">
        <v>66</v>
      </c>
      <c r="J11" s="470" t="s">
        <v>67</v>
      </c>
      <c r="K11" s="435" t="s">
        <v>57</v>
      </c>
      <c r="L11" s="443"/>
      <c r="M11" s="148"/>
    </row>
    <row r="12" spans="1:15" ht="14.1" customHeight="1" thickBot="1">
      <c r="A12" s="434"/>
      <c r="B12" s="436"/>
      <c r="C12" s="438"/>
      <c r="D12" s="440"/>
      <c r="E12" s="468"/>
      <c r="F12" s="468"/>
      <c r="G12" s="468"/>
      <c r="H12" s="468"/>
      <c r="I12" s="468"/>
      <c r="J12" s="434"/>
      <c r="K12" s="436"/>
      <c r="L12" s="444"/>
      <c r="O12" s="11"/>
    </row>
    <row r="13" spans="1:15" ht="14.1" customHeight="1" thickBot="1">
      <c r="A13" s="445" t="s">
        <v>84</v>
      </c>
      <c r="B13" s="446"/>
      <c r="C13" s="447"/>
      <c r="D13" s="447"/>
      <c r="E13" s="448"/>
      <c r="F13" s="266">
        <v>2</v>
      </c>
      <c r="G13" s="266" t="s">
        <v>10</v>
      </c>
      <c r="H13" s="207">
        <f>F13</f>
        <v>2</v>
      </c>
      <c r="I13" s="267">
        <f>K6</f>
        <v>11818.84</v>
      </c>
      <c r="J13" s="268"/>
      <c r="K13" s="449"/>
      <c r="L13" s="450"/>
      <c r="O13" s="11"/>
    </row>
    <row r="14" spans="1:15" ht="12.95" customHeight="1">
      <c r="A14" s="451" t="s">
        <v>17</v>
      </c>
      <c r="B14" s="454" t="s">
        <v>128</v>
      </c>
      <c r="C14" s="457" t="s">
        <v>15</v>
      </c>
      <c r="D14" s="458"/>
      <c r="E14" s="171">
        <v>19.55</v>
      </c>
      <c r="F14" s="171">
        <f>E14</f>
        <v>19.55</v>
      </c>
      <c r="G14" s="271" t="s">
        <v>10</v>
      </c>
      <c r="H14" s="171">
        <f>IF(G14="IN",H12+F14,H12)</f>
        <v>0</v>
      </c>
      <c r="I14" s="171">
        <f>IF(H14="","",$K$6-H14)</f>
        <v>11818.84</v>
      </c>
      <c r="J14" s="172">
        <f t="shared" ref="J14:J77" si="0">$G$7+(H14*$C$8*$G$10/1000)</f>
        <v>127</v>
      </c>
      <c r="K14" s="459" t="s">
        <v>130</v>
      </c>
      <c r="L14" s="460"/>
      <c r="M14" s="147"/>
    </row>
    <row r="15" spans="1:15" ht="12.95" customHeight="1">
      <c r="A15" s="452"/>
      <c r="B15" s="455"/>
      <c r="C15" s="461" t="s">
        <v>14</v>
      </c>
      <c r="D15" s="462"/>
      <c r="E15" s="170">
        <v>2.7</v>
      </c>
      <c r="F15" s="170">
        <f>E15</f>
        <v>2.7</v>
      </c>
      <c r="G15" s="170" t="s">
        <v>8</v>
      </c>
      <c r="H15" s="170">
        <f>IF(G15="IN",H14+F15,H14)</f>
        <v>2.7</v>
      </c>
      <c r="I15" s="170">
        <f t="shared" ref="I15:I78" si="1">IF(H15="","",$K$6-H15)</f>
        <v>11816.14</v>
      </c>
      <c r="J15" s="173">
        <f t="shared" si="0"/>
        <v>127.05861619556914</v>
      </c>
      <c r="K15" s="463" t="s">
        <v>129</v>
      </c>
      <c r="L15" s="464"/>
      <c r="M15" s="11"/>
    </row>
    <row r="16" spans="1:15" ht="12.95" customHeight="1" thickBot="1">
      <c r="A16" s="453"/>
      <c r="B16" s="456"/>
      <c r="C16" s="465" t="s">
        <v>16</v>
      </c>
      <c r="D16" s="466"/>
      <c r="E16" s="174">
        <v>14.8</v>
      </c>
      <c r="F16" s="174">
        <f>E16</f>
        <v>14.8</v>
      </c>
      <c r="G16" s="174" t="s">
        <v>8</v>
      </c>
      <c r="H16" s="174">
        <f>IF(G16="IN",H15+F16,H15)</f>
        <v>17.5</v>
      </c>
      <c r="I16" s="174">
        <f t="shared" si="1"/>
        <v>11801.34</v>
      </c>
      <c r="J16" s="175">
        <f t="shared" si="0"/>
        <v>127.37991978609625</v>
      </c>
      <c r="K16" s="471" t="s">
        <v>131</v>
      </c>
      <c r="L16" s="472"/>
      <c r="M16" s="11"/>
    </row>
    <row r="17" spans="1:15" s="225" customFormat="1" ht="13.5" thickBot="1">
      <c r="A17" s="319" t="s">
        <v>166</v>
      </c>
      <c r="B17" s="473" t="s">
        <v>123</v>
      </c>
      <c r="C17" s="473"/>
      <c r="D17" s="474"/>
      <c r="E17" s="325">
        <v>20.22</v>
      </c>
      <c r="F17" s="269">
        <f>E17-($C$10)</f>
        <v>19.821999999999999</v>
      </c>
      <c r="G17" s="270" t="s">
        <v>8</v>
      </c>
      <c r="H17" s="270">
        <f>IF(G17="IN",H16+F17,H16)</f>
        <v>37.322000000000003</v>
      </c>
      <c r="I17" s="269">
        <f t="shared" si="1"/>
        <v>11781.518</v>
      </c>
      <c r="J17" s="273">
        <f t="shared" si="0"/>
        <v>127.81024950038197</v>
      </c>
      <c r="K17" s="475"/>
      <c r="L17" s="476"/>
      <c r="M17" s="224"/>
    </row>
    <row r="18" spans="1:15" ht="12.95" customHeight="1">
      <c r="A18" s="477" t="s">
        <v>141</v>
      </c>
      <c r="B18" s="480" t="s">
        <v>132</v>
      </c>
      <c r="C18" s="482" t="s">
        <v>16</v>
      </c>
      <c r="D18" s="483"/>
      <c r="E18" s="180">
        <v>10.210000000000001</v>
      </c>
      <c r="F18" s="180">
        <f>E18-($C$10)</f>
        <v>9.8120000000000012</v>
      </c>
      <c r="G18" s="180" t="s">
        <v>8</v>
      </c>
      <c r="H18" s="180">
        <f t="shared" ref="H18:H81" si="2">IF(G18="IN",H17+F18,H17)</f>
        <v>47.134</v>
      </c>
      <c r="I18" s="180">
        <f t="shared" si="1"/>
        <v>11771.706</v>
      </c>
      <c r="J18" s="274">
        <f t="shared" si="0"/>
        <v>128.02326509702061</v>
      </c>
      <c r="K18" s="484" t="s">
        <v>133</v>
      </c>
      <c r="L18" s="485"/>
      <c r="M18" s="11"/>
      <c r="N18" s="11"/>
    </row>
    <row r="19" spans="1:15" ht="12.95" customHeight="1">
      <c r="A19" s="478"/>
      <c r="B19" s="481"/>
      <c r="C19" s="486" t="s">
        <v>56</v>
      </c>
      <c r="D19" s="487"/>
      <c r="E19" s="179">
        <v>9.94</v>
      </c>
      <c r="F19" s="179">
        <f>E19</f>
        <v>9.94</v>
      </c>
      <c r="G19" s="179" t="s">
        <v>8</v>
      </c>
      <c r="H19" s="179">
        <f t="shared" si="2"/>
        <v>57.073999999999998</v>
      </c>
      <c r="I19" s="183">
        <f t="shared" si="1"/>
        <v>11761.766</v>
      </c>
      <c r="J19" s="275">
        <f t="shared" si="0"/>
        <v>128.2390595355233</v>
      </c>
      <c r="K19" s="488" t="s">
        <v>117</v>
      </c>
      <c r="L19" s="489"/>
      <c r="M19" s="11"/>
    </row>
    <row r="20" spans="1:15" ht="12.95" customHeight="1">
      <c r="A20" s="478"/>
      <c r="B20" s="481"/>
      <c r="C20" s="490" t="s">
        <v>18</v>
      </c>
      <c r="D20" s="491"/>
      <c r="E20" s="178">
        <v>3.24</v>
      </c>
      <c r="F20" s="178">
        <f>E20</f>
        <v>3.24</v>
      </c>
      <c r="G20" s="178" t="s">
        <v>8</v>
      </c>
      <c r="H20" s="178">
        <f t="shared" si="2"/>
        <v>60.314</v>
      </c>
      <c r="I20" s="178">
        <f t="shared" si="1"/>
        <v>11758.526</v>
      </c>
      <c r="J20" s="276">
        <f t="shared" si="0"/>
        <v>128.30939897020627</v>
      </c>
      <c r="K20" s="488" t="s">
        <v>118</v>
      </c>
      <c r="L20" s="489"/>
      <c r="M20" s="11"/>
    </row>
    <row r="21" spans="1:15" ht="12.95" customHeight="1">
      <c r="A21" s="478"/>
      <c r="B21" s="481"/>
      <c r="C21" s="490" t="s">
        <v>71</v>
      </c>
      <c r="D21" s="491"/>
      <c r="E21" s="178">
        <v>2.4500000000000002</v>
      </c>
      <c r="F21" s="178">
        <f>E21</f>
        <v>2.4500000000000002</v>
      </c>
      <c r="G21" s="178" t="s">
        <v>8</v>
      </c>
      <c r="H21" s="178">
        <f t="shared" si="2"/>
        <v>62.764000000000003</v>
      </c>
      <c r="I21" s="178">
        <f t="shared" si="1"/>
        <v>11756.076000000001</v>
      </c>
      <c r="J21" s="276">
        <f t="shared" si="0"/>
        <v>128.36258774025973</v>
      </c>
      <c r="K21" s="488" t="s">
        <v>134</v>
      </c>
      <c r="L21" s="489"/>
      <c r="M21" s="11"/>
    </row>
    <row r="22" spans="1:15" ht="12.95" customHeight="1" thickBot="1">
      <c r="A22" s="479"/>
      <c r="B22" s="481"/>
      <c r="C22" s="498" t="s">
        <v>16</v>
      </c>
      <c r="D22" s="499"/>
      <c r="E22" s="181">
        <v>9.82</v>
      </c>
      <c r="F22" s="181">
        <f>E22</f>
        <v>9.82</v>
      </c>
      <c r="G22" s="181" t="s">
        <v>8</v>
      </c>
      <c r="H22" s="181">
        <f t="shared" si="2"/>
        <v>72.584000000000003</v>
      </c>
      <c r="I22" s="181">
        <f t="shared" si="1"/>
        <v>11746.255999999999</v>
      </c>
      <c r="J22" s="272">
        <f t="shared" si="0"/>
        <v>128.5757770145149</v>
      </c>
      <c r="K22" s="500" t="s">
        <v>135</v>
      </c>
      <c r="L22" s="501"/>
      <c r="M22" s="11"/>
    </row>
    <row r="23" spans="1:15" s="10" customFormat="1" ht="14.1" customHeight="1">
      <c r="A23" s="299">
        <v>1</v>
      </c>
      <c r="B23" s="502" t="s">
        <v>152</v>
      </c>
      <c r="C23" s="503"/>
      <c r="D23" s="301">
        <v>370</v>
      </c>
      <c r="E23" s="197">
        <v>31.83</v>
      </c>
      <c r="F23" s="176">
        <f t="shared" ref="F23:F86" si="3">E23-($C$10)</f>
        <v>31.431999999999999</v>
      </c>
      <c r="G23" s="176" t="s">
        <v>8</v>
      </c>
      <c r="H23" s="176">
        <f t="shared" si="2"/>
        <v>104.01600000000001</v>
      </c>
      <c r="I23" s="176">
        <f t="shared" si="1"/>
        <v>11714.824000000001</v>
      </c>
      <c r="J23" s="177">
        <f t="shared" si="0"/>
        <v>129.25815636974789</v>
      </c>
      <c r="K23" s="504"/>
      <c r="L23" s="505"/>
      <c r="M23" s="14"/>
    </row>
    <row r="24" spans="1:15" s="10" customFormat="1" ht="14.1" customHeight="1" thickBot="1">
      <c r="A24" s="298">
        <v>2</v>
      </c>
      <c r="B24" s="492" t="s">
        <v>152</v>
      </c>
      <c r="C24" s="493"/>
      <c r="D24" s="300">
        <f>D23-1</f>
        <v>369</v>
      </c>
      <c r="E24" s="197">
        <v>33.520000000000003</v>
      </c>
      <c r="F24" s="165">
        <f t="shared" si="3"/>
        <v>33.122</v>
      </c>
      <c r="G24" s="165" t="s">
        <v>8</v>
      </c>
      <c r="H24" s="165">
        <f t="shared" si="2"/>
        <v>137.13800000000001</v>
      </c>
      <c r="I24" s="165">
        <f t="shared" si="1"/>
        <v>11681.701999999999</v>
      </c>
      <c r="J24" s="177">
        <f t="shared" si="0"/>
        <v>129.97722512146677</v>
      </c>
      <c r="K24" s="494"/>
      <c r="L24" s="495"/>
      <c r="M24" s="14"/>
    </row>
    <row r="25" spans="1:15" s="10" customFormat="1" ht="14.1" customHeight="1" thickBot="1">
      <c r="A25" s="298">
        <v>3</v>
      </c>
      <c r="B25" s="492" t="s">
        <v>152</v>
      </c>
      <c r="C25" s="493"/>
      <c r="D25" s="300">
        <f t="shared" ref="D25:D88" si="4">D24-1</f>
        <v>368</v>
      </c>
      <c r="E25" s="197">
        <v>33.17</v>
      </c>
      <c r="F25" s="165">
        <f t="shared" si="3"/>
        <v>32.771999999999998</v>
      </c>
      <c r="G25" s="165" t="s">
        <v>8</v>
      </c>
      <c r="H25" s="165">
        <f t="shared" si="2"/>
        <v>169.91</v>
      </c>
      <c r="I25" s="165">
        <f t="shared" si="1"/>
        <v>11648.93</v>
      </c>
      <c r="J25" s="177">
        <f t="shared" si="0"/>
        <v>130.68869547746371</v>
      </c>
      <c r="K25" s="496" t="s">
        <v>21</v>
      </c>
      <c r="L25" s="497"/>
      <c r="M25" s="14"/>
    </row>
    <row r="26" spans="1:15" s="10" customFormat="1" ht="14.1" customHeight="1" thickBot="1">
      <c r="A26" s="298">
        <v>4</v>
      </c>
      <c r="B26" s="492" t="s">
        <v>152</v>
      </c>
      <c r="C26" s="493"/>
      <c r="D26" s="300">
        <f t="shared" si="4"/>
        <v>367</v>
      </c>
      <c r="E26" s="197">
        <v>33.33</v>
      </c>
      <c r="F26" s="165">
        <f t="shared" si="3"/>
        <v>32.931999999999995</v>
      </c>
      <c r="G26" s="165" t="s">
        <v>8</v>
      </c>
      <c r="H26" s="165">
        <f t="shared" si="2"/>
        <v>202.84199999999998</v>
      </c>
      <c r="I26" s="165">
        <f t="shared" si="1"/>
        <v>11615.998</v>
      </c>
      <c r="J26" s="177">
        <f t="shared" si="0"/>
        <v>131.40363938579068</v>
      </c>
      <c r="K26" s="192">
        <v>11786.59</v>
      </c>
      <c r="L26" s="193">
        <v>11748.53</v>
      </c>
      <c r="M26" s="14"/>
    </row>
    <row r="27" spans="1:15" s="10" customFormat="1" ht="14.1" customHeight="1" thickBot="1">
      <c r="A27" s="298">
        <v>5</v>
      </c>
      <c r="B27" s="492" t="s">
        <v>152</v>
      </c>
      <c r="C27" s="493"/>
      <c r="D27" s="300">
        <f t="shared" si="4"/>
        <v>366</v>
      </c>
      <c r="E27" s="197">
        <v>33.53</v>
      </c>
      <c r="F27" s="165">
        <f t="shared" si="3"/>
        <v>33.131999999999998</v>
      </c>
      <c r="G27" s="165" t="s">
        <v>8</v>
      </c>
      <c r="H27" s="165">
        <f t="shared" si="2"/>
        <v>235.97399999999999</v>
      </c>
      <c r="I27" s="165">
        <f t="shared" si="1"/>
        <v>11582.866</v>
      </c>
      <c r="J27" s="177">
        <f t="shared" si="0"/>
        <v>132.12292523453019</v>
      </c>
      <c r="K27" s="194">
        <f>K26-I19</f>
        <v>24.824000000000524</v>
      </c>
      <c r="L27" s="195">
        <f>I19-L26</f>
        <v>13.235999999998967</v>
      </c>
      <c r="M27" s="17"/>
    </row>
    <row r="28" spans="1:15" s="10" customFormat="1" ht="14.1" customHeight="1">
      <c r="A28" s="298">
        <v>6</v>
      </c>
      <c r="B28" s="492" t="s">
        <v>152</v>
      </c>
      <c r="C28" s="493"/>
      <c r="D28" s="300">
        <f t="shared" si="4"/>
        <v>365</v>
      </c>
      <c r="E28" s="197">
        <v>33.46</v>
      </c>
      <c r="F28" s="165">
        <f t="shared" si="3"/>
        <v>33.061999999999998</v>
      </c>
      <c r="G28" s="165" t="s">
        <v>8</v>
      </c>
      <c r="H28" s="165">
        <f t="shared" si="2"/>
        <v>269.036</v>
      </c>
      <c r="I28" s="165">
        <f t="shared" si="1"/>
        <v>11549.804</v>
      </c>
      <c r="J28" s="177">
        <f t="shared" si="0"/>
        <v>132.84069140412529</v>
      </c>
      <c r="K28" s="512" t="s">
        <v>99</v>
      </c>
      <c r="L28" s="513"/>
      <c r="M28" s="14"/>
      <c r="N28" s="14"/>
    </row>
    <row r="29" spans="1:15" s="10" customFormat="1" ht="14.1" customHeight="1" thickBot="1">
      <c r="A29" s="298">
        <v>7</v>
      </c>
      <c r="B29" s="492" t="s">
        <v>152</v>
      </c>
      <c r="C29" s="493"/>
      <c r="D29" s="300">
        <f t="shared" si="4"/>
        <v>364</v>
      </c>
      <c r="E29" s="197">
        <v>33.619999999999997</v>
      </c>
      <c r="F29" s="165">
        <f t="shared" si="3"/>
        <v>33.221999999999994</v>
      </c>
      <c r="G29" s="165" t="s">
        <v>8</v>
      </c>
      <c r="H29" s="165">
        <f t="shared" si="2"/>
        <v>302.25799999999998</v>
      </c>
      <c r="I29" s="165">
        <f t="shared" si="1"/>
        <v>11516.582</v>
      </c>
      <c r="J29" s="177">
        <f t="shared" si="0"/>
        <v>133.56193112605041</v>
      </c>
      <c r="K29" s="514"/>
      <c r="L29" s="515"/>
      <c r="M29" s="14"/>
    </row>
    <row r="30" spans="1:15" s="10" customFormat="1" ht="14.1" customHeight="1">
      <c r="A30" s="298">
        <v>8</v>
      </c>
      <c r="B30" s="492" t="s">
        <v>152</v>
      </c>
      <c r="C30" s="493"/>
      <c r="D30" s="300">
        <f t="shared" si="4"/>
        <v>363</v>
      </c>
      <c r="E30" s="197">
        <v>33.36</v>
      </c>
      <c r="F30" s="165">
        <f t="shared" si="3"/>
        <v>32.961999999999996</v>
      </c>
      <c r="G30" s="165" t="s">
        <v>8</v>
      </c>
      <c r="H30" s="165">
        <f t="shared" si="2"/>
        <v>335.21999999999997</v>
      </c>
      <c r="I30" s="165">
        <f t="shared" si="1"/>
        <v>11483.62</v>
      </c>
      <c r="J30" s="177">
        <f t="shared" si="0"/>
        <v>134.27752632543925</v>
      </c>
      <c r="K30" s="516"/>
      <c r="L30" s="517"/>
      <c r="M30" s="14"/>
      <c r="O30" s="14"/>
    </row>
    <row r="31" spans="1:15" s="10" customFormat="1" ht="12.95" customHeight="1" thickBot="1">
      <c r="A31" s="298">
        <v>9</v>
      </c>
      <c r="B31" s="492" t="s">
        <v>152</v>
      </c>
      <c r="C31" s="493"/>
      <c r="D31" s="300">
        <f t="shared" si="4"/>
        <v>362</v>
      </c>
      <c r="E31" s="197">
        <v>33.07</v>
      </c>
      <c r="F31" s="165">
        <f t="shared" si="3"/>
        <v>32.671999999999997</v>
      </c>
      <c r="G31" s="165" t="s">
        <v>8</v>
      </c>
      <c r="H31" s="165">
        <f t="shared" si="2"/>
        <v>367.89199999999994</v>
      </c>
      <c r="I31" s="165">
        <f t="shared" si="1"/>
        <v>11450.948</v>
      </c>
      <c r="J31" s="177">
        <f t="shared" si="0"/>
        <v>134.98682571122995</v>
      </c>
      <c r="K31" s="518"/>
      <c r="L31" s="519"/>
      <c r="M31" s="14"/>
    </row>
    <row r="32" spans="1:15" s="10" customFormat="1" ht="12.95" customHeight="1">
      <c r="A32" s="298">
        <v>10</v>
      </c>
      <c r="B32" s="492" t="s">
        <v>152</v>
      </c>
      <c r="C32" s="493"/>
      <c r="D32" s="300">
        <f t="shared" si="4"/>
        <v>361</v>
      </c>
      <c r="E32" s="197">
        <v>33.53</v>
      </c>
      <c r="F32" s="165">
        <f t="shared" si="3"/>
        <v>33.131999999999998</v>
      </c>
      <c r="G32" s="165" t="s">
        <v>8</v>
      </c>
      <c r="H32" s="165">
        <f t="shared" si="2"/>
        <v>401.02399999999994</v>
      </c>
      <c r="I32" s="165">
        <f t="shared" si="1"/>
        <v>11417.816000000001</v>
      </c>
      <c r="J32" s="177">
        <f t="shared" si="0"/>
        <v>135.70611155996943</v>
      </c>
      <c r="K32" s="506" t="s">
        <v>110</v>
      </c>
      <c r="L32" s="507"/>
      <c r="M32" s="14"/>
      <c r="O32" s="14"/>
    </row>
    <row r="33" spans="1:15" s="10" customFormat="1" ht="12.95" customHeight="1" thickBot="1">
      <c r="A33" s="298">
        <v>11</v>
      </c>
      <c r="B33" s="492" t="s">
        <v>152</v>
      </c>
      <c r="C33" s="493"/>
      <c r="D33" s="300">
        <f t="shared" si="4"/>
        <v>360</v>
      </c>
      <c r="E33" s="197">
        <v>33.43</v>
      </c>
      <c r="F33" s="165">
        <f t="shared" si="3"/>
        <v>33.031999999999996</v>
      </c>
      <c r="G33" s="165" t="s">
        <v>8</v>
      </c>
      <c r="H33" s="165">
        <f t="shared" si="2"/>
        <v>434.05599999999993</v>
      </c>
      <c r="I33" s="165">
        <f t="shared" si="1"/>
        <v>11384.784</v>
      </c>
      <c r="J33" s="177">
        <f t="shared" si="0"/>
        <v>136.42322643850267</v>
      </c>
      <c r="K33" s="508" t="s">
        <v>111</v>
      </c>
      <c r="L33" s="509"/>
      <c r="M33" s="14"/>
    </row>
    <row r="34" spans="1:15" s="10" customFormat="1" ht="12.95" customHeight="1" thickBot="1">
      <c r="A34" s="298">
        <v>12</v>
      </c>
      <c r="B34" s="492" t="s">
        <v>152</v>
      </c>
      <c r="C34" s="493"/>
      <c r="D34" s="300">
        <f t="shared" si="4"/>
        <v>359</v>
      </c>
      <c r="E34" s="197">
        <v>33.17</v>
      </c>
      <c r="F34" s="165">
        <f t="shared" si="3"/>
        <v>32.771999999999998</v>
      </c>
      <c r="G34" s="165" t="s">
        <v>8</v>
      </c>
      <c r="H34" s="165">
        <f t="shared" si="2"/>
        <v>466.82799999999992</v>
      </c>
      <c r="I34" s="165">
        <f t="shared" si="1"/>
        <v>11352.012000000001</v>
      </c>
      <c r="J34" s="177">
        <f t="shared" si="0"/>
        <v>137.13469679449963</v>
      </c>
      <c r="K34" s="144"/>
      <c r="L34" s="204"/>
      <c r="M34" s="14"/>
    </row>
    <row r="35" spans="1:15" s="10" customFormat="1" ht="12.95" customHeight="1">
      <c r="A35" s="298">
        <v>13</v>
      </c>
      <c r="B35" s="492" t="s">
        <v>152</v>
      </c>
      <c r="C35" s="493"/>
      <c r="D35" s="300">
        <f t="shared" si="4"/>
        <v>358</v>
      </c>
      <c r="E35" s="197">
        <v>32.93</v>
      </c>
      <c r="F35" s="165">
        <f t="shared" si="3"/>
        <v>32.531999999999996</v>
      </c>
      <c r="G35" s="165" t="s">
        <v>8</v>
      </c>
      <c r="H35" s="165">
        <f t="shared" si="2"/>
        <v>499.3599999999999</v>
      </c>
      <c r="I35" s="165">
        <f t="shared" si="1"/>
        <v>11319.48</v>
      </c>
      <c r="J35" s="177">
        <f t="shared" si="0"/>
        <v>137.84095682200152</v>
      </c>
      <c r="K35" s="510" t="s">
        <v>112</v>
      </c>
      <c r="L35" s="511"/>
      <c r="M35" s="14"/>
    </row>
    <row r="36" spans="1:15" s="10" customFormat="1" ht="12.95" customHeight="1" thickBot="1">
      <c r="A36" s="298">
        <v>14</v>
      </c>
      <c r="B36" s="492" t="s">
        <v>152</v>
      </c>
      <c r="C36" s="493"/>
      <c r="D36" s="300">
        <f t="shared" si="4"/>
        <v>357</v>
      </c>
      <c r="E36" s="197">
        <v>33.64</v>
      </c>
      <c r="F36" s="165">
        <f t="shared" si="3"/>
        <v>33.241999999999997</v>
      </c>
      <c r="G36" s="165" t="s">
        <v>8</v>
      </c>
      <c r="H36" s="165">
        <f t="shared" si="2"/>
        <v>532.60199999999986</v>
      </c>
      <c r="I36" s="165">
        <f t="shared" si="1"/>
        <v>11286.238000000001</v>
      </c>
      <c r="J36" s="177">
        <f t="shared" si="0"/>
        <v>138.56263073796791</v>
      </c>
      <c r="K36" s="520" t="s">
        <v>113</v>
      </c>
      <c r="L36" s="521"/>
      <c r="M36" s="14"/>
    </row>
    <row r="37" spans="1:15" s="10" customFormat="1" ht="12.95" customHeight="1">
      <c r="A37" s="298">
        <v>15</v>
      </c>
      <c r="B37" s="492" t="s">
        <v>152</v>
      </c>
      <c r="C37" s="493"/>
      <c r="D37" s="300">
        <f t="shared" si="4"/>
        <v>356</v>
      </c>
      <c r="E37" s="197">
        <v>33</v>
      </c>
      <c r="F37" s="165">
        <f t="shared" si="3"/>
        <v>32.601999999999997</v>
      </c>
      <c r="G37" s="165" t="s">
        <v>8</v>
      </c>
      <c r="H37" s="165">
        <f t="shared" si="2"/>
        <v>565.20399999999984</v>
      </c>
      <c r="I37" s="165">
        <f t="shared" si="1"/>
        <v>11253.636</v>
      </c>
      <c r="J37" s="177">
        <f t="shared" si="0"/>
        <v>139.27041044461421</v>
      </c>
      <c r="K37" s="518"/>
      <c r="L37" s="519"/>
      <c r="M37" s="14"/>
    </row>
    <row r="38" spans="1:15" s="10" customFormat="1" ht="12.95" customHeight="1">
      <c r="A38" s="298">
        <v>16</v>
      </c>
      <c r="B38" s="492" t="s">
        <v>152</v>
      </c>
      <c r="C38" s="493"/>
      <c r="D38" s="300">
        <f t="shared" si="4"/>
        <v>355</v>
      </c>
      <c r="E38" s="197">
        <v>32.979999999999997</v>
      </c>
      <c r="F38" s="165">
        <f t="shared" si="3"/>
        <v>32.581999999999994</v>
      </c>
      <c r="G38" s="165" t="s">
        <v>8</v>
      </c>
      <c r="H38" s="165">
        <f t="shared" si="2"/>
        <v>597.78599999999983</v>
      </c>
      <c r="I38" s="165">
        <f t="shared" si="1"/>
        <v>11221.054</v>
      </c>
      <c r="J38" s="177">
        <f t="shared" si="0"/>
        <v>139.97775595721924</v>
      </c>
      <c r="K38" s="518"/>
      <c r="L38" s="519"/>
      <c r="M38" s="14"/>
      <c r="O38" s="14"/>
    </row>
    <row r="39" spans="1:15" s="10" customFormat="1" ht="12.95" customHeight="1">
      <c r="A39" s="298">
        <v>17</v>
      </c>
      <c r="B39" s="492" t="s">
        <v>152</v>
      </c>
      <c r="C39" s="493"/>
      <c r="D39" s="300">
        <f t="shared" si="4"/>
        <v>354</v>
      </c>
      <c r="E39" s="197">
        <v>33.35</v>
      </c>
      <c r="F39" s="165">
        <f t="shared" si="3"/>
        <v>32.951999999999998</v>
      </c>
      <c r="G39" s="165" t="s">
        <v>8</v>
      </c>
      <c r="H39" s="165">
        <f t="shared" si="2"/>
        <v>630.73799999999983</v>
      </c>
      <c r="I39" s="165">
        <f t="shared" si="1"/>
        <v>11188.102000000001</v>
      </c>
      <c r="J39" s="177">
        <f t="shared" si="0"/>
        <v>140.69313405958746</v>
      </c>
      <c r="K39" s="518"/>
      <c r="L39" s="519"/>
      <c r="M39" s="14"/>
    </row>
    <row r="40" spans="1:15" s="10" customFormat="1" ht="12.95" customHeight="1">
      <c r="A40" s="298">
        <v>18</v>
      </c>
      <c r="B40" s="492" t="s">
        <v>152</v>
      </c>
      <c r="C40" s="493"/>
      <c r="D40" s="300">
        <f t="shared" si="4"/>
        <v>353</v>
      </c>
      <c r="E40" s="197">
        <v>33.11</v>
      </c>
      <c r="F40" s="165">
        <f t="shared" si="3"/>
        <v>32.711999999999996</v>
      </c>
      <c r="G40" s="165" t="s">
        <v>8</v>
      </c>
      <c r="H40" s="165">
        <f t="shared" si="2"/>
        <v>663.44999999999982</v>
      </c>
      <c r="I40" s="165">
        <f t="shared" si="1"/>
        <v>11155.39</v>
      </c>
      <c r="J40" s="177">
        <f t="shared" si="0"/>
        <v>141.40330183346066</v>
      </c>
      <c r="K40" s="518"/>
      <c r="L40" s="519"/>
      <c r="M40" s="14"/>
    </row>
    <row r="41" spans="1:15" s="10" customFormat="1" ht="12.95" customHeight="1">
      <c r="A41" s="298">
        <v>19</v>
      </c>
      <c r="B41" s="492" t="s">
        <v>152</v>
      </c>
      <c r="C41" s="493"/>
      <c r="D41" s="300">
        <f t="shared" si="4"/>
        <v>352</v>
      </c>
      <c r="E41" s="197">
        <v>33.229999999999997</v>
      </c>
      <c r="F41" s="165">
        <f t="shared" si="3"/>
        <v>32.831999999999994</v>
      </c>
      <c r="G41" s="165" t="s">
        <v>8</v>
      </c>
      <c r="H41" s="165">
        <f t="shared" si="2"/>
        <v>696.28199999999981</v>
      </c>
      <c r="I41" s="165">
        <f t="shared" si="1"/>
        <v>11122.558000000001</v>
      </c>
      <c r="J41" s="177">
        <f t="shared" si="0"/>
        <v>142.11607477158137</v>
      </c>
      <c r="K41" s="518"/>
      <c r="L41" s="519"/>
      <c r="M41" s="14"/>
    </row>
    <row r="42" spans="1:15" s="10" customFormat="1" ht="12.95" customHeight="1">
      <c r="A42" s="298">
        <v>20</v>
      </c>
      <c r="B42" s="492" t="s">
        <v>152</v>
      </c>
      <c r="C42" s="493"/>
      <c r="D42" s="300">
        <f t="shared" si="4"/>
        <v>351</v>
      </c>
      <c r="E42" s="197">
        <v>33.22</v>
      </c>
      <c r="F42" s="165">
        <f t="shared" si="3"/>
        <v>32.821999999999996</v>
      </c>
      <c r="G42" s="165" t="s">
        <v>8</v>
      </c>
      <c r="H42" s="165">
        <f t="shared" si="2"/>
        <v>729.10399999999981</v>
      </c>
      <c r="I42" s="165">
        <f t="shared" si="1"/>
        <v>11089.736000000001</v>
      </c>
      <c r="J42" s="177">
        <f t="shared" si="0"/>
        <v>142.82863061268142</v>
      </c>
      <c r="K42" s="518"/>
      <c r="L42" s="519"/>
      <c r="M42" s="14"/>
    </row>
    <row r="43" spans="1:15" s="10" customFormat="1" ht="12.95" customHeight="1">
      <c r="A43" s="298">
        <v>21</v>
      </c>
      <c r="B43" s="492" t="s">
        <v>152</v>
      </c>
      <c r="C43" s="493"/>
      <c r="D43" s="300">
        <f t="shared" si="4"/>
        <v>350</v>
      </c>
      <c r="E43" s="197">
        <v>33.04</v>
      </c>
      <c r="F43" s="165">
        <f t="shared" si="3"/>
        <v>32.641999999999996</v>
      </c>
      <c r="G43" s="165" t="s">
        <v>8</v>
      </c>
      <c r="H43" s="165">
        <f t="shared" si="2"/>
        <v>761.74599999999987</v>
      </c>
      <c r="I43" s="165">
        <f t="shared" si="1"/>
        <v>11057.094000000001</v>
      </c>
      <c r="J43" s="177">
        <f t="shared" si="0"/>
        <v>143.53727870741022</v>
      </c>
      <c r="K43" s="518"/>
      <c r="L43" s="519"/>
      <c r="M43" s="14"/>
      <c r="O43" s="14"/>
    </row>
    <row r="44" spans="1:15" s="10" customFormat="1" ht="12.95" customHeight="1">
      <c r="A44" s="298">
        <v>22</v>
      </c>
      <c r="B44" s="492" t="s">
        <v>152</v>
      </c>
      <c r="C44" s="493"/>
      <c r="D44" s="300">
        <f t="shared" si="4"/>
        <v>349</v>
      </c>
      <c r="E44" s="197">
        <v>31.72</v>
      </c>
      <c r="F44" s="165">
        <f t="shared" si="3"/>
        <v>31.321999999999999</v>
      </c>
      <c r="G44" s="165" t="s">
        <v>8</v>
      </c>
      <c r="H44" s="165">
        <f t="shared" si="2"/>
        <v>793.06799999999987</v>
      </c>
      <c r="I44" s="165">
        <f t="shared" si="1"/>
        <v>11025.772000000001</v>
      </c>
      <c r="J44" s="177">
        <f t="shared" si="0"/>
        <v>144.21726999541636</v>
      </c>
      <c r="K44" s="518"/>
      <c r="L44" s="519"/>
      <c r="M44" s="14"/>
    </row>
    <row r="45" spans="1:15" s="10" customFormat="1" ht="12.95" customHeight="1">
      <c r="A45" s="298">
        <v>23</v>
      </c>
      <c r="B45" s="492" t="s">
        <v>152</v>
      </c>
      <c r="C45" s="493"/>
      <c r="D45" s="300">
        <f t="shared" si="4"/>
        <v>348</v>
      </c>
      <c r="E45" s="197">
        <v>32.659999999999997</v>
      </c>
      <c r="F45" s="165">
        <f t="shared" si="3"/>
        <v>32.261999999999993</v>
      </c>
      <c r="G45" s="165" t="s">
        <v>8</v>
      </c>
      <c r="H45" s="165">
        <f t="shared" si="2"/>
        <v>825.32999999999981</v>
      </c>
      <c r="I45" s="165">
        <f t="shared" si="1"/>
        <v>10993.51</v>
      </c>
      <c r="J45" s="177">
        <f t="shared" si="0"/>
        <v>144.91766840336135</v>
      </c>
      <c r="K45" s="518"/>
      <c r="L45" s="519"/>
      <c r="M45" s="14"/>
    </row>
    <row r="46" spans="1:15" s="10" customFormat="1" ht="12.95" customHeight="1">
      <c r="A46" s="298">
        <v>24</v>
      </c>
      <c r="B46" s="492" t="s">
        <v>152</v>
      </c>
      <c r="C46" s="493"/>
      <c r="D46" s="300">
        <f t="shared" si="4"/>
        <v>347</v>
      </c>
      <c r="E46" s="197">
        <v>33.08</v>
      </c>
      <c r="F46" s="165">
        <f t="shared" si="3"/>
        <v>32.681999999999995</v>
      </c>
      <c r="G46" s="165" t="s">
        <v>8</v>
      </c>
      <c r="H46" s="165">
        <f t="shared" si="2"/>
        <v>858.01199999999983</v>
      </c>
      <c r="I46" s="165">
        <f t="shared" si="1"/>
        <v>10960.828</v>
      </c>
      <c r="J46" s="177">
        <f t="shared" si="0"/>
        <v>145.62718488617264</v>
      </c>
      <c r="K46" s="518"/>
      <c r="L46" s="519"/>
      <c r="M46" s="14"/>
    </row>
    <row r="47" spans="1:15" s="10" customFormat="1" ht="12.95" customHeight="1">
      <c r="A47" s="298">
        <v>25</v>
      </c>
      <c r="B47" s="492" t="s">
        <v>152</v>
      </c>
      <c r="C47" s="493"/>
      <c r="D47" s="300">
        <f t="shared" si="4"/>
        <v>346</v>
      </c>
      <c r="E47" s="197">
        <v>33.99</v>
      </c>
      <c r="F47" s="165">
        <f t="shared" si="3"/>
        <v>33.591999999999999</v>
      </c>
      <c r="G47" s="165" t="s">
        <v>8</v>
      </c>
      <c r="H47" s="165">
        <f t="shared" si="2"/>
        <v>891.60399999999981</v>
      </c>
      <c r="I47" s="165">
        <f t="shared" si="1"/>
        <v>10927.236000000001</v>
      </c>
      <c r="J47" s="177">
        <f t="shared" si="0"/>
        <v>146.35645719786095</v>
      </c>
      <c r="K47" s="518"/>
      <c r="L47" s="519"/>
      <c r="M47" s="14"/>
    </row>
    <row r="48" spans="1:15" s="10" customFormat="1" ht="12.95" customHeight="1">
      <c r="A48" s="298">
        <v>26</v>
      </c>
      <c r="B48" s="492" t="s">
        <v>152</v>
      </c>
      <c r="C48" s="493"/>
      <c r="D48" s="300">
        <f t="shared" si="4"/>
        <v>345</v>
      </c>
      <c r="E48" s="197">
        <v>33.619999999999997</v>
      </c>
      <c r="F48" s="165">
        <f t="shared" si="3"/>
        <v>33.221999999999994</v>
      </c>
      <c r="G48" s="165" t="s">
        <v>8</v>
      </c>
      <c r="H48" s="165">
        <f t="shared" si="2"/>
        <v>924.82599999999979</v>
      </c>
      <c r="I48" s="165">
        <f t="shared" si="1"/>
        <v>10894.014000000001</v>
      </c>
      <c r="J48" s="177">
        <f t="shared" si="0"/>
        <v>147.07769691978609</v>
      </c>
      <c r="K48" s="518"/>
      <c r="L48" s="519"/>
      <c r="M48" s="14"/>
    </row>
    <row r="49" spans="1:13" s="10" customFormat="1" ht="12.95" customHeight="1">
      <c r="A49" s="298">
        <v>27</v>
      </c>
      <c r="B49" s="492" t="s">
        <v>152</v>
      </c>
      <c r="C49" s="493"/>
      <c r="D49" s="300">
        <f t="shared" si="4"/>
        <v>344</v>
      </c>
      <c r="E49" s="197">
        <v>33.22</v>
      </c>
      <c r="F49" s="165">
        <f t="shared" si="3"/>
        <v>32.821999999999996</v>
      </c>
      <c r="G49" s="165" t="s">
        <v>8</v>
      </c>
      <c r="H49" s="165">
        <f t="shared" si="2"/>
        <v>957.6479999999998</v>
      </c>
      <c r="I49" s="165">
        <f t="shared" si="1"/>
        <v>10861.192000000001</v>
      </c>
      <c r="J49" s="177">
        <f t="shared" si="0"/>
        <v>147.79025276088618</v>
      </c>
      <c r="K49" s="518"/>
      <c r="L49" s="519"/>
      <c r="M49" s="14"/>
    </row>
    <row r="50" spans="1:13" s="10" customFormat="1" ht="12.95" customHeight="1">
      <c r="A50" s="298">
        <v>28</v>
      </c>
      <c r="B50" s="492" t="s">
        <v>152</v>
      </c>
      <c r="C50" s="493"/>
      <c r="D50" s="300">
        <f t="shared" si="4"/>
        <v>343</v>
      </c>
      <c r="E50" s="197">
        <v>33.46</v>
      </c>
      <c r="F50" s="165">
        <f t="shared" si="3"/>
        <v>33.061999999999998</v>
      </c>
      <c r="G50" s="165" t="s">
        <v>8</v>
      </c>
      <c r="H50" s="165">
        <f t="shared" si="2"/>
        <v>990.70999999999981</v>
      </c>
      <c r="I50" s="165">
        <f t="shared" si="1"/>
        <v>10828.130000000001</v>
      </c>
      <c r="J50" s="177">
        <f t="shared" si="0"/>
        <v>148.50801893048128</v>
      </c>
      <c r="K50" s="518"/>
      <c r="L50" s="519"/>
      <c r="M50" s="14"/>
    </row>
    <row r="51" spans="1:13" s="10" customFormat="1" ht="12.95" customHeight="1">
      <c r="A51" s="298">
        <v>29</v>
      </c>
      <c r="B51" s="492" t="s">
        <v>152</v>
      </c>
      <c r="C51" s="493"/>
      <c r="D51" s="300">
        <f t="shared" si="4"/>
        <v>342</v>
      </c>
      <c r="E51" s="197">
        <v>32.93</v>
      </c>
      <c r="F51" s="165">
        <f t="shared" si="3"/>
        <v>32.531999999999996</v>
      </c>
      <c r="G51" s="165" t="s">
        <v>8</v>
      </c>
      <c r="H51" s="165">
        <f t="shared" si="2"/>
        <v>1023.2419999999998</v>
      </c>
      <c r="I51" s="165">
        <f t="shared" si="1"/>
        <v>10795.598</v>
      </c>
      <c r="J51" s="177">
        <f t="shared" si="0"/>
        <v>149.2142789579832</v>
      </c>
      <c r="K51" s="518"/>
      <c r="L51" s="519"/>
      <c r="M51" s="14"/>
    </row>
    <row r="52" spans="1:13" s="10" customFormat="1" ht="12.95" customHeight="1">
      <c r="A52" s="298">
        <v>30</v>
      </c>
      <c r="B52" s="492" t="s">
        <v>152</v>
      </c>
      <c r="C52" s="493"/>
      <c r="D52" s="300">
        <f t="shared" si="4"/>
        <v>341</v>
      </c>
      <c r="E52" s="197">
        <v>33.65</v>
      </c>
      <c r="F52" s="165">
        <f t="shared" si="3"/>
        <v>33.251999999999995</v>
      </c>
      <c r="G52" s="165" t="s">
        <v>8</v>
      </c>
      <c r="H52" s="165">
        <f t="shared" si="2"/>
        <v>1056.4939999999999</v>
      </c>
      <c r="I52" s="165">
        <f t="shared" si="1"/>
        <v>10762.346</v>
      </c>
      <c r="J52" s="177">
        <f t="shared" si="0"/>
        <v>149.93616997097021</v>
      </c>
      <c r="K52" s="518"/>
      <c r="L52" s="519"/>
      <c r="M52" s="14"/>
    </row>
    <row r="53" spans="1:13" s="10" customFormat="1" ht="12.95" customHeight="1">
      <c r="A53" s="298">
        <v>31</v>
      </c>
      <c r="B53" s="492" t="s">
        <v>152</v>
      </c>
      <c r="C53" s="493"/>
      <c r="D53" s="300">
        <f t="shared" si="4"/>
        <v>340</v>
      </c>
      <c r="E53" s="197">
        <v>33.81</v>
      </c>
      <c r="F53" s="165">
        <f t="shared" si="3"/>
        <v>33.411999999999999</v>
      </c>
      <c r="G53" s="165" t="s">
        <v>8</v>
      </c>
      <c r="H53" s="165">
        <f t="shared" si="2"/>
        <v>1089.9059999999999</v>
      </c>
      <c r="I53" s="165">
        <f t="shared" si="1"/>
        <v>10728.934000000001</v>
      </c>
      <c r="J53" s="177">
        <f t="shared" si="0"/>
        <v>150.66153453628723</v>
      </c>
      <c r="K53" s="518"/>
      <c r="L53" s="519"/>
      <c r="M53" s="14"/>
    </row>
    <row r="54" spans="1:13" s="10" customFormat="1" ht="12.95" customHeight="1">
      <c r="A54" s="298">
        <v>32</v>
      </c>
      <c r="B54" s="492" t="s">
        <v>152</v>
      </c>
      <c r="C54" s="493"/>
      <c r="D54" s="300">
        <f t="shared" si="4"/>
        <v>339</v>
      </c>
      <c r="E54" s="197">
        <v>33.840000000000003</v>
      </c>
      <c r="F54" s="165">
        <f t="shared" si="3"/>
        <v>33.442</v>
      </c>
      <c r="G54" s="165" t="s">
        <v>8</v>
      </c>
      <c r="H54" s="165">
        <f t="shared" si="2"/>
        <v>1123.348</v>
      </c>
      <c r="I54" s="165">
        <f t="shared" si="1"/>
        <v>10695.492</v>
      </c>
      <c r="J54" s="177">
        <f t="shared" si="0"/>
        <v>151.38755039266616</v>
      </c>
      <c r="K54" s="518" t="s">
        <v>7</v>
      </c>
      <c r="L54" s="519"/>
      <c r="M54" s="14"/>
    </row>
    <row r="55" spans="1:13" s="10" customFormat="1" ht="12.95" customHeight="1">
      <c r="A55" s="298">
        <v>33</v>
      </c>
      <c r="B55" s="492" t="s">
        <v>152</v>
      </c>
      <c r="C55" s="493"/>
      <c r="D55" s="300">
        <f t="shared" si="4"/>
        <v>338</v>
      </c>
      <c r="E55" s="197">
        <v>30.97</v>
      </c>
      <c r="F55" s="165">
        <f t="shared" si="3"/>
        <v>30.571999999999999</v>
      </c>
      <c r="G55" s="165" t="s">
        <v>8</v>
      </c>
      <c r="H55" s="165">
        <f t="shared" si="2"/>
        <v>1153.9199999999998</v>
      </c>
      <c r="I55" s="165">
        <f t="shared" si="1"/>
        <v>10664.92</v>
      </c>
      <c r="J55" s="177">
        <f t="shared" si="0"/>
        <v>152.05125940412529</v>
      </c>
      <c r="K55" s="518"/>
      <c r="L55" s="519"/>
      <c r="M55" s="14"/>
    </row>
    <row r="56" spans="1:13" s="10" customFormat="1" ht="12.95" customHeight="1">
      <c r="A56" s="298">
        <v>34</v>
      </c>
      <c r="B56" s="492" t="s">
        <v>152</v>
      </c>
      <c r="C56" s="493"/>
      <c r="D56" s="300">
        <f t="shared" si="4"/>
        <v>337</v>
      </c>
      <c r="E56" s="197">
        <v>32.47</v>
      </c>
      <c r="F56" s="165">
        <f t="shared" si="3"/>
        <v>32.071999999999996</v>
      </c>
      <c r="G56" s="165" t="s">
        <v>8</v>
      </c>
      <c r="H56" s="165">
        <f t="shared" si="2"/>
        <v>1185.9919999999997</v>
      </c>
      <c r="I56" s="165">
        <f t="shared" si="1"/>
        <v>10632.848</v>
      </c>
      <c r="J56" s="177">
        <f t="shared" si="0"/>
        <v>152.74753296867837</v>
      </c>
      <c r="K56" s="518"/>
      <c r="L56" s="519"/>
      <c r="M56" s="14"/>
    </row>
    <row r="57" spans="1:13" s="10" customFormat="1" ht="12.95" customHeight="1">
      <c r="A57" s="298">
        <v>35</v>
      </c>
      <c r="B57" s="492" t="s">
        <v>152</v>
      </c>
      <c r="C57" s="493"/>
      <c r="D57" s="300">
        <f t="shared" si="4"/>
        <v>336</v>
      </c>
      <c r="E57" s="197">
        <v>33.700000000000003</v>
      </c>
      <c r="F57" s="164">
        <f t="shared" si="3"/>
        <v>33.302</v>
      </c>
      <c r="G57" s="165" t="s">
        <v>8</v>
      </c>
      <c r="H57" s="164">
        <f t="shared" si="2"/>
        <v>1219.2939999999996</v>
      </c>
      <c r="I57" s="165">
        <f t="shared" si="1"/>
        <v>10599.546</v>
      </c>
      <c r="J57" s="177">
        <f t="shared" si="0"/>
        <v>153.47050946676853</v>
      </c>
      <c r="K57" s="518"/>
      <c r="L57" s="519"/>
      <c r="M57" s="14"/>
    </row>
    <row r="58" spans="1:13" s="10" customFormat="1" ht="12.95" customHeight="1">
      <c r="A58" s="298">
        <v>36</v>
      </c>
      <c r="B58" s="492" t="s">
        <v>152</v>
      </c>
      <c r="C58" s="493"/>
      <c r="D58" s="300">
        <f t="shared" si="4"/>
        <v>335</v>
      </c>
      <c r="E58" s="197">
        <v>33.61</v>
      </c>
      <c r="F58" s="165">
        <f t="shared" si="3"/>
        <v>33.211999999999996</v>
      </c>
      <c r="G58" s="165" t="s">
        <v>8</v>
      </c>
      <c r="H58" s="165">
        <f t="shared" si="2"/>
        <v>1252.5059999999996</v>
      </c>
      <c r="I58" s="165">
        <f t="shared" si="1"/>
        <v>10566.334000000001</v>
      </c>
      <c r="J58" s="177">
        <f t="shared" si="0"/>
        <v>154.19153209167303</v>
      </c>
      <c r="K58" s="518"/>
      <c r="L58" s="519"/>
      <c r="M58" s="14"/>
    </row>
    <row r="59" spans="1:13" s="10" customFormat="1" ht="12.95" customHeight="1">
      <c r="A59" s="298">
        <v>37</v>
      </c>
      <c r="B59" s="492" t="s">
        <v>152</v>
      </c>
      <c r="C59" s="493"/>
      <c r="D59" s="300">
        <f t="shared" si="4"/>
        <v>334</v>
      </c>
      <c r="E59" s="197">
        <v>33.549999999999997</v>
      </c>
      <c r="F59" s="165">
        <f t="shared" si="3"/>
        <v>33.151999999999994</v>
      </c>
      <c r="G59" s="165" t="s">
        <v>8</v>
      </c>
      <c r="H59" s="165">
        <f t="shared" si="2"/>
        <v>1285.6579999999997</v>
      </c>
      <c r="I59" s="165">
        <f t="shared" si="1"/>
        <v>10533.182000000001</v>
      </c>
      <c r="J59" s="177">
        <f t="shared" si="0"/>
        <v>154.91125213445378</v>
      </c>
      <c r="K59" s="518"/>
      <c r="L59" s="519"/>
      <c r="M59" s="14"/>
    </row>
    <row r="60" spans="1:13" s="10" customFormat="1">
      <c r="A60" s="298">
        <v>38</v>
      </c>
      <c r="B60" s="492" t="s">
        <v>152</v>
      </c>
      <c r="C60" s="493"/>
      <c r="D60" s="300">
        <f t="shared" si="4"/>
        <v>333</v>
      </c>
      <c r="E60" s="197">
        <v>32.9</v>
      </c>
      <c r="F60" s="165">
        <f t="shared" si="3"/>
        <v>32.501999999999995</v>
      </c>
      <c r="G60" s="165" t="s">
        <v>8</v>
      </c>
      <c r="H60" s="165">
        <f t="shared" si="2"/>
        <v>1318.1599999999996</v>
      </c>
      <c r="I60" s="165">
        <f t="shared" si="1"/>
        <v>10500.68</v>
      </c>
      <c r="J60" s="177">
        <f t="shared" si="0"/>
        <v>155.61686087089382</v>
      </c>
      <c r="L60" s="284"/>
      <c r="M60" s="14"/>
    </row>
    <row r="61" spans="1:13" s="10" customFormat="1" ht="12.95" customHeight="1" thickBot="1">
      <c r="A61" s="298">
        <v>39</v>
      </c>
      <c r="B61" s="492" t="s">
        <v>152</v>
      </c>
      <c r="C61" s="493"/>
      <c r="D61" s="300">
        <f t="shared" si="4"/>
        <v>332</v>
      </c>
      <c r="E61" s="197">
        <v>33.520000000000003</v>
      </c>
      <c r="F61" s="165">
        <f t="shared" si="3"/>
        <v>33.122</v>
      </c>
      <c r="G61" s="165" t="s">
        <v>8</v>
      </c>
      <c r="H61" s="165">
        <f t="shared" si="2"/>
        <v>1351.2819999999997</v>
      </c>
      <c r="I61" s="165">
        <f t="shared" si="1"/>
        <v>10467.558000000001</v>
      </c>
      <c r="J61" s="177">
        <f t="shared" si="0"/>
        <v>156.33592962261267</v>
      </c>
      <c r="K61" s="518"/>
      <c r="L61" s="519"/>
      <c r="M61" s="14"/>
    </row>
    <row r="62" spans="1:13" s="10" customFormat="1" ht="12.95" customHeight="1" thickBot="1">
      <c r="A62" s="298">
        <v>40</v>
      </c>
      <c r="B62" s="492" t="s">
        <v>152</v>
      </c>
      <c r="C62" s="493"/>
      <c r="D62" s="300">
        <f t="shared" si="4"/>
        <v>331</v>
      </c>
      <c r="E62" s="197">
        <v>33.4</v>
      </c>
      <c r="F62" s="165">
        <f t="shared" si="3"/>
        <v>33.001999999999995</v>
      </c>
      <c r="G62" s="165" t="s">
        <v>8</v>
      </c>
      <c r="H62" s="165">
        <f t="shared" si="2"/>
        <v>1384.2839999999997</v>
      </c>
      <c r="I62" s="165">
        <f t="shared" si="1"/>
        <v>10434.556</v>
      </c>
      <c r="J62" s="177">
        <f t="shared" si="0"/>
        <v>157.05239321008403</v>
      </c>
      <c r="K62" s="546" t="s">
        <v>136</v>
      </c>
      <c r="L62" s="547"/>
      <c r="M62" s="14"/>
    </row>
    <row r="63" spans="1:13" s="10" customFormat="1" ht="12.95" customHeight="1">
      <c r="A63" s="298">
        <v>41</v>
      </c>
      <c r="B63" s="492" t="s">
        <v>152</v>
      </c>
      <c r="C63" s="493"/>
      <c r="D63" s="300">
        <f t="shared" si="4"/>
        <v>330</v>
      </c>
      <c r="E63" s="197">
        <v>31.99</v>
      </c>
      <c r="F63" s="165">
        <f t="shared" si="3"/>
        <v>31.591999999999999</v>
      </c>
      <c r="G63" s="165" t="s">
        <v>8</v>
      </c>
      <c r="H63" s="165">
        <f t="shared" si="2"/>
        <v>1415.8759999999997</v>
      </c>
      <c r="I63" s="165">
        <f t="shared" si="1"/>
        <v>10402.964</v>
      </c>
      <c r="J63" s="177">
        <f t="shared" si="0"/>
        <v>157.73824611764707</v>
      </c>
      <c r="K63" s="518"/>
      <c r="L63" s="519"/>
      <c r="M63" s="14"/>
    </row>
    <row r="64" spans="1:13" s="10" customFormat="1" ht="12.95" customHeight="1">
      <c r="A64" s="298">
        <v>42</v>
      </c>
      <c r="B64" s="492" t="s">
        <v>152</v>
      </c>
      <c r="C64" s="493"/>
      <c r="D64" s="300">
        <f t="shared" si="4"/>
        <v>329</v>
      </c>
      <c r="E64" s="197">
        <v>33.380000000000003</v>
      </c>
      <c r="F64" s="165">
        <f t="shared" si="3"/>
        <v>32.981999999999999</v>
      </c>
      <c r="G64" s="165" t="s">
        <v>8</v>
      </c>
      <c r="H64" s="165">
        <f t="shared" si="2"/>
        <v>1448.8579999999997</v>
      </c>
      <c r="I64" s="165">
        <f t="shared" si="1"/>
        <v>10369.982</v>
      </c>
      <c r="J64" s="177">
        <f t="shared" si="0"/>
        <v>158.45427551107716</v>
      </c>
      <c r="K64" s="518"/>
      <c r="L64" s="519"/>
      <c r="M64" s="14"/>
    </row>
    <row r="65" spans="1:13" s="10" customFormat="1" ht="12.95" customHeight="1">
      <c r="A65" s="298">
        <v>43</v>
      </c>
      <c r="B65" s="492" t="s">
        <v>152</v>
      </c>
      <c r="C65" s="493"/>
      <c r="D65" s="300">
        <f t="shared" si="4"/>
        <v>328</v>
      </c>
      <c r="E65" s="197">
        <v>33.590000000000003</v>
      </c>
      <c r="F65" s="165">
        <f t="shared" si="3"/>
        <v>33.192</v>
      </c>
      <c r="G65" s="165" t="s">
        <v>8</v>
      </c>
      <c r="H65" s="165">
        <f t="shared" si="2"/>
        <v>1482.0499999999997</v>
      </c>
      <c r="I65" s="165">
        <f t="shared" si="1"/>
        <v>10336.790000000001</v>
      </c>
      <c r="J65" s="177">
        <f t="shared" si="0"/>
        <v>159.17486394194043</v>
      </c>
      <c r="K65" s="518"/>
      <c r="L65" s="519"/>
      <c r="M65" s="14"/>
    </row>
    <row r="66" spans="1:13" s="10" customFormat="1" ht="12.95" customHeight="1">
      <c r="A66" s="298">
        <v>44</v>
      </c>
      <c r="B66" s="492" t="s">
        <v>152</v>
      </c>
      <c r="C66" s="493"/>
      <c r="D66" s="300">
        <f t="shared" si="4"/>
        <v>327</v>
      </c>
      <c r="E66" s="197">
        <v>33.950000000000003</v>
      </c>
      <c r="F66" s="165">
        <f t="shared" si="3"/>
        <v>33.552</v>
      </c>
      <c r="G66" s="165" t="s">
        <v>8</v>
      </c>
      <c r="H66" s="165">
        <f t="shared" si="2"/>
        <v>1515.6019999999996</v>
      </c>
      <c r="I66" s="165">
        <f t="shared" si="1"/>
        <v>10303.238000000001</v>
      </c>
      <c r="J66" s="177">
        <f t="shared" si="0"/>
        <v>159.90326786554621</v>
      </c>
      <c r="K66" s="518"/>
      <c r="L66" s="519"/>
      <c r="M66" s="14"/>
    </row>
    <row r="67" spans="1:13" s="10" customFormat="1" ht="12.95" customHeight="1">
      <c r="A67" s="298">
        <v>45</v>
      </c>
      <c r="B67" s="492" t="s">
        <v>152</v>
      </c>
      <c r="C67" s="493"/>
      <c r="D67" s="300">
        <f t="shared" si="4"/>
        <v>326</v>
      </c>
      <c r="E67" s="197">
        <v>33.56</v>
      </c>
      <c r="F67" s="165">
        <f t="shared" si="3"/>
        <v>33.161999999999999</v>
      </c>
      <c r="G67" s="165" t="s">
        <v>8</v>
      </c>
      <c r="H67" s="165">
        <f t="shared" si="2"/>
        <v>1548.7639999999997</v>
      </c>
      <c r="I67" s="165">
        <f t="shared" si="1"/>
        <v>10270.076000000001</v>
      </c>
      <c r="J67" s="177">
        <f t="shared" si="0"/>
        <v>160.62320500534759</v>
      </c>
      <c r="K67" s="518"/>
      <c r="L67" s="519"/>
      <c r="M67" s="14"/>
    </row>
    <row r="68" spans="1:13" s="10" customFormat="1" ht="12.95" customHeight="1">
      <c r="A68" s="298">
        <v>46</v>
      </c>
      <c r="B68" s="492" t="s">
        <v>152</v>
      </c>
      <c r="C68" s="493"/>
      <c r="D68" s="300">
        <f t="shared" si="4"/>
        <v>325</v>
      </c>
      <c r="E68" s="197">
        <v>33.380000000000003</v>
      </c>
      <c r="F68" s="165">
        <f t="shared" si="3"/>
        <v>32.981999999999999</v>
      </c>
      <c r="G68" s="165" t="s">
        <v>8</v>
      </c>
      <c r="H68" s="165">
        <f t="shared" si="2"/>
        <v>1581.7459999999996</v>
      </c>
      <c r="I68" s="165">
        <f t="shared" si="1"/>
        <v>10237.094000000001</v>
      </c>
      <c r="J68" s="177">
        <f t="shared" si="0"/>
        <v>161.33923439877771</v>
      </c>
      <c r="K68" s="518"/>
      <c r="L68" s="519"/>
      <c r="M68" s="14"/>
    </row>
    <row r="69" spans="1:13" s="10" customFormat="1" ht="12.95" customHeight="1">
      <c r="A69" s="298">
        <v>47</v>
      </c>
      <c r="B69" s="492" t="s">
        <v>152</v>
      </c>
      <c r="C69" s="493"/>
      <c r="D69" s="300">
        <f t="shared" si="4"/>
        <v>324</v>
      </c>
      <c r="E69" s="197">
        <v>33.479999999999997</v>
      </c>
      <c r="F69" s="165">
        <f t="shared" si="3"/>
        <v>33.081999999999994</v>
      </c>
      <c r="G69" s="165" t="s">
        <v>8</v>
      </c>
      <c r="H69" s="165">
        <f t="shared" si="2"/>
        <v>1614.8279999999995</v>
      </c>
      <c r="I69" s="165">
        <f t="shared" si="1"/>
        <v>10204.012000000001</v>
      </c>
      <c r="J69" s="177">
        <f t="shared" si="0"/>
        <v>162.05743476241406</v>
      </c>
      <c r="K69" s="518"/>
      <c r="L69" s="519"/>
      <c r="M69" s="14"/>
    </row>
    <row r="70" spans="1:13" s="10" customFormat="1" ht="12.95" customHeight="1">
      <c r="A70" s="298">
        <v>48</v>
      </c>
      <c r="B70" s="492" t="s">
        <v>152</v>
      </c>
      <c r="C70" s="493"/>
      <c r="D70" s="300">
        <f t="shared" si="4"/>
        <v>323</v>
      </c>
      <c r="E70" s="197">
        <v>33.79</v>
      </c>
      <c r="F70" s="165">
        <f t="shared" si="3"/>
        <v>33.391999999999996</v>
      </c>
      <c r="G70" s="165" t="s">
        <v>8</v>
      </c>
      <c r="H70" s="165">
        <f t="shared" si="2"/>
        <v>1648.2199999999996</v>
      </c>
      <c r="I70" s="165">
        <f t="shared" si="1"/>
        <v>10170.620000000001</v>
      </c>
      <c r="J70" s="177">
        <f t="shared" si="0"/>
        <v>162.78236513368984</v>
      </c>
      <c r="K70" s="518"/>
      <c r="L70" s="519"/>
      <c r="M70" s="14"/>
    </row>
    <row r="71" spans="1:13" s="10" customFormat="1" ht="12.95" customHeight="1">
      <c r="A71" s="298">
        <v>49</v>
      </c>
      <c r="B71" s="492" t="s">
        <v>152</v>
      </c>
      <c r="C71" s="493"/>
      <c r="D71" s="300">
        <f t="shared" si="4"/>
        <v>322</v>
      </c>
      <c r="E71" s="197">
        <v>33.549999999999997</v>
      </c>
      <c r="F71" s="165">
        <f t="shared" si="3"/>
        <v>33.151999999999994</v>
      </c>
      <c r="G71" s="165" t="s">
        <v>8</v>
      </c>
      <c r="H71" s="165">
        <f t="shared" si="2"/>
        <v>1681.3719999999996</v>
      </c>
      <c r="I71" s="165">
        <f t="shared" si="1"/>
        <v>10137.468000000001</v>
      </c>
      <c r="J71" s="177">
        <f t="shared" si="0"/>
        <v>163.50208517647059</v>
      </c>
      <c r="K71" s="518"/>
      <c r="L71" s="519"/>
      <c r="M71" s="14"/>
    </row>
    <row r="72" spans="1:13" s="10" customFormat="1" ht="12.95" customHeight="1">
      <c r="A72" s="298">
        <v>50</v>
      </c>
      <c r="B72" s="492" t="s">
        <v>152</v>
      </c>
      <c r="C72" s="493"/>
      <c r="D72" s="300">
        <f t="shared" si="4"/>
        <v>321</v>
      </c>
      <c r="E72" s="197">
        <v>33.26</v>
      </c>
      <c r="F72" s="165">
        <f t="shared" si="3"/>
        <v>32.861999999999995</v>
      </c>
      <c r="G72" s="165" t="s">
        <v>8</v>
      </c>
      <c r="H72" s="165">
        <f t="shared" si="2"/>
        <v>1714.2339999999997</v>
      </c>
      <c r="I72" s="165">
        <f t="shared" si="1"/>
        <v>10104.606</v>
      </c>
      <c r="J72" s="177">
        <f t="shared" si="0"/>
        <v>164.21550940565317</v>
      </c>
      <c r="K72" s="518"/>
      <c r="L72" s="519"/>
      <c r="M72" s="14"/>
    </row>
    <row r="73" spans="1:13" s="10" customFormat="1" ht="12.95" customHeight="1">
      <c r="A73" s="298">
        <v>51</v>
      </c>
      <c r="B73" s="492" t="s">
        <v>152</v>
      </c>
      <c r="C73" s="493"/>
      <c r="D73" s="300">
        <f t="shared" si="4"/>
        <v>320</v>
      </c>
      <c r="E73" s="197">
        <v>33.61</v>
      </c>
      <c r="F73" s="165">
        <f t="shared" si="3"/>
        <v>33.211999999999996</v>
      </c>
      <c r="G73" s="165" t="s">
        <v>8</v>
      </c>
      <c r="H73" s="165">
        <f t="shared" si="2"/>
        <v>1747.4459999999997</v>
      </c>
      <c r="I73" s="165">
        <f t="shared" si="1"/>
        <v>10071.394</v>
      </c>
      <c r="J73" s="177">
        <f t="shared" si="0"/>
        <v>164.93653203055766</v>
      </c>
      <c r="K73" s="518"/>
      <c r="L73" s="519"/>
      <c r="M73" s="14"/>
    </row>
    <row r="74" spans="1:13" s="10" customFormat="1" ht="12.95" customHeight="1">
      <c r="A74" s="298">
        <v>52</v>
      </c>
      <c r="B74" s="492" t="s">
        <v>152</v>
      </c>
      <c r="C74" s="493"/>
      <c r="D74" s="300">
        <f t="shared" si="4"/>
        <v>319</v>
      </c>
      <c r="E74" s="197">
        <v>33.6</v>
      </c>
      <c r="F74" s="165">
        <f t="shared" si="3"/>
        <v>33.201999999999998</v>
      </c>
      <c r="G74" s="165" t="s">
        <v>8</v>
      </c>
      <c r="H74" s="165">
        <f t="shared" si="2"/>
        <v>1780.6479999999997</v>
      </c>
      <c r="I74" s="165">
        <f t="shared" si="1"/>
        <v>10038.192000000001</v>
      </c>
      <c r="J74" s="177">
        <f t="shared" si="0"/>
        <v>165.65733755844155</v>
      </c>
      <c r="K74" s="518"/>
      <c r="L74" s="519"/>
      <c r="M74" s="14"/>
    </row>
    <row r="75" spans="1:13" s="10" customFormat="1" ht="12.95" customHeight="1">
      <c r="A75" s="298">
        <v>53</v>
      </c>
      <c r="B75" s="492" t="s">
        <v>152</v>
      </c>
      <c r="C75" s="493"/>
      <c r="D75" s="300">
        <f t="shared" si="4"/>
        <v>318</v>
      </c>
      <c r="E75" s="197">
        <v>33.57</v>
      </c>
      <c r="F75" s="165">
        <f t="shared" si="3"/>
        <v>33.171999999999997</v>
      </c>
      <c r="G75" s="165" t="s">
        <v>8</v>
      </c>
      <c r="H75" s="165">
        <f t="shared" si="2"/>
        <v>1813.8199999999997</v>
      </c>
      <c r="I75" s="165">
        <f t="shared" si="1"/>
        <v>10005.02</v>
      </c>
      <c r="J75" s="177">
        <f t="shared" si="0"/>
        <v>166.37749179526355</v>
      </c>
      <c r="K75" s="518"/>
      <c r="L75" s="519"/>
      <c r="M75" s="14"/>
    </row>
    <row r="76" spans="1:13" s="10" customFormat="1" ht="12.95" customHeight="1">
      <c r="A76" s="298">
        <v>54</v>
      </c>
      <c r="B76" s="492" t="s">
        <v>152</v>
      </c>
      <c r="C76" s="493"/>
      <c r="D76" s="300">
        <f t="shared" si="4"/>
        <v>317</v>
      </c>
      <c r="E76" s="197">
        <v>33.369999999999997</v>
      </c>
      <c r="F76" s="165">
        <f t="shared" si="3"/>
        <v>32.971999999999994</v>
      </c>
      <c r="G76" s="165" t="s">
        <v>8</v>
      </c>
      <c r="H76" s="165">
        <f t="shared" si="2"/>
        <v>1846.7919999999997</v>
      </c>
      <c r="I76" s="165">
        <f t="shared" si="1"/>
        <v>9972.0480000000007</v>
      </c>
      <c r="J76" s="177">
        <f t="shared" si="0"/>
        <v>167.09330409167302</v>
      </c>
      <c r="K76" s="518"/>
      <c r="L76" s="519"/>
      <c r="M76" s="14"/>
    </row>
    <row r="77" spans="1:13" s="10" customFormat="1" ht="12.95" customHeight="1">
      <c r="A77" s="298">
        <v>55</v>
      </c>
      <c r="B77" s="492" t="s">
        <v>152</v>
      </c>
      <c r="C77" s="493"/>
      <c r="D77" s="300">
        <f t="shared" si="4"/>
        <v>316</v>
      </c>
      <c r="E77" s="197">
        <v>33.200000000000003</v>
      </c>
      <c r="F77" s="165">
        <f t="shared" si="3"/>
        <v>32.802</v>
      </c>
      <c r="G77" s="165" t="s">
        <v>8</v>
      </c>
      <c r="H77" s="165">
        <f t="shared" si="2"/>
        <v>1879.5939999999996</v>
      </c>
      <c r="I77" s="165">
        <f t="shared" si="1"/>
        <v>9939.246000000001</v>
      </c>
      <c r="J77" s="177">
        <f t="shared" si="0"/>
        <v>167.80542573873186</v>
      </c>
      <c r="K77" s="518"/>
      <c r="L77" s="519"/>
      <c r="M77" s="14"/>
    </row>
    <row r="78" spans="1:13" s="10" customFormat="1" ht="12.95" customHeight="1">
      <c r="A78" s="298">
        <v>56</v>
      </c>
      <c r="B78" s="492" t="s">
        <v>152</v>
      </c>
      <c r="C78" s="493"/>
      <c r="D78" s="300">
        <f t="shared" si="4"/>
        <v>315</v>
      </c>
      <c r="E78" s="197">
        <v>33.51</v>
      </c>
      <c r="F78" s="165">
        <f t="shared" si="3"/>
        <v>33.111999999999995</v>
      </c>
      <c r="G78" s="165" t="s">
        <v>8</v>
      </c>
      <c r="H78" s="165">
        <f t="shared" si="2"/>
        <v>1912.7059999999997</v>
      </c>
      <c r="I78" s="165">
        <f t="shared" si="1"/>
        <v>9906.134</v>
      </c>
      <c r="J78" s="177">
        <f t="shared" ref="J78:J141" si="5">$G$7+(H78*$C$8*$G$10/1000)</f>
        <v>168.52427739343011</v>
      </c>
      <c r="K78" s="518"/>
      <c r="L78" s="519"/>
      <c r="M78" s="14"/>
    </row>
    <row r="79" spans="1:13" s="10" customFormat="1" ht="12.95" customHeight="1">
      <c r="A79" s="298">
        <v>57</v>
      </c>
      <c r="B79" s="492" t="s">
        <v>152</v>
      </c>
      <c r="C79" s="493"/>
      <c r="D79" s="300">
        <f t="shared" si="4"/>
        <v>314</v>
      </c>
      <c r="E79" s="197">
        <v>33.53</v>
      </c>
      <c r="F79" s="165">
        <f t="shared" si="3"/>
        <v>33.131999999999998</v>
      </c>
      <c r="G79" s="165" t="s">
        <v>8</v>
      </c>
      <c r="H79" s="165">
        <f t="shared" si="2"/>
        <v>1945.8379999999997</v>
      </c>
      <c r="I79" s="165">
        <f t="shared" ref="I79:I142" si="6">IF(H79="","",$K$6-H79)</f>
        <v>9873.0020000000004</v>
      </c>
      <c r="J79" s="177">
        <f t="shared" si="5"/>
        <v>169.24356324216959</v>
      </c>
      <c r="K79" s="518"/>
      <c r="L79" s="519"/>
      <c r="M79" s="14"/>
    </row>
    <row r="80" spans="1:13" s="10" customFormat="1" ht="12.95" customHeight="1">
      <c r="A80" s="298">
        <v>58</v>
      </c>
      <c r="B80" s="492" t="s">
        <v>152</v>
      </c>
      <c r="C80" s="493"/>
      <c r="D80" s="300">
        <f t="shared" si="4"/>
        <v>313</v>
      </c>
      <c r="E80" s="197">
        <v>33.53</v>
      </c>
      <c r="F80" s="165">
        <f t="shared" si="3"/>
        <v>33.131999999999998</v>
      </c>
      <c r="G80" s="165" t="s">
        <v>8</v>
      </c>
      <c r="H80" s="165">
        <f t="shared" si="2"/>
        <v>1978.9699999999998</v>
      </c>
      <c r="I80" s="165">
        <f t="shared" si="6"/>
        <v>9839.8700000000008</v>
      </c>
      <c r="J80" s="177">
        <f t="shared" si="5"/>
        <v>169.96284909090909</v>
      </c>
      <c r="K80" s="518"/>
      <c r="L80" s="519"/>
      <c r="M80" s="14"/>
    </row>
    <row r="81" spans="1:13" s="10" customFormat="1" ht="12.95" customHeight="1">
      <c r="A81" s="298">
        <v>59</v>
      </c>
      <c r="B81" s="492" t="s">
        <v>152</v>
      </c>
      <c r="C81" s="493"/>
      <c r="D81" s="300">
        <f t="shared" si="4"/>
        <v>312</v>
      </c>
      <c r="E81" s="197">
        <v>33.4</v>
      </c>
      <c r="F81" s="165">
        <f t="shared" si="3"/>
        <v>33.001999999999995</v>
      </c>
      <c r="G81" s="165" t="s">
        <v>8</v>
      </c>
      <c r="H81" s="165">
        <f t="shared" si="2"/>
        <v>2011.9719999999998</v>
      </c>
      <c r="I81" s="165">
        <f t="shared" si="6"/>
        <v>9806.8680000000004</v>
      </c>
      <c r="J81" s="177">
        <f t="shared" si="5"/>
        <v>170.67931267838046</v>
      </c>
      <c r="K81" s="518"/>
      <c r="L81" s="519"/>
    </row>
    <row r="82" spans="1:13" s="10" customFormat="1" ht="12.95" customHeight="1">
      <c r="A82" s="298">
        <v>60</v>
      </c>
      <c r="B82" s="492" t="s">
        <v>152</v>
      </c>
      <c r="C82" s="493"/>
      <c r="D82" s="300">
        <f t="shared" si="4"/>
        <v>311</v>
      </c>
      <c r="E82" s="197">
        <v>33.200000000000003</v>
      </c>
      <c r="F82" s="165">
        <f t="shared" si="3"/>
        <v>32.802</v>
      </c>
      <c r="G82" s="165" t="s">
        <v>8</v>
      </c>
      <c r="H82" s="165">
        <f t="shared" ref="H82:H145" si="7">IF(G82="IN",H81+F82,H81)</f>
        <v>2044.7739999999997</v>
      </c>
      <c r="I82" s="165">
        <f t="shared" si="6"/>
        <v>9774.0660000000007</v>
      </c>
      <c r="J82" s="177">
        <f t="shared" si="5"/>
        <v>171.39143432543926</v>
      </c>
      <c r="K82" s="518"/>
      <c r="L82" s="519"/>
      <c r="M82" s="14"/>
    </row>
    <row r="83" spans="1:13" s="10" customFormat="1" ht="12.95" customHeight="1">
      <c r="A83" s="298">
        <v>61</v>
      </c>
      <c r="B83" s="492" t="s">
        <v>152</v>
      </c>
      <c r="C83" s="493"/>
      <c r="D83" s="300">
        <f t="shared" si="4"/>
        <v>310</v>
      </c>
      <c r="E83" s="197">
        <v>33.42</v>
      </c>
      <c r="F83" s="165">
        <f t="shared" si="3"/>
        <v>33.021999999999998</v>
      </c>
      <c r="G83" s="165" t="s">
        <v>8</v>
      </c>
      <c r="H83" s="165">
        <f t="shared" si="7"/>
        <v>2077.7959999999998</v>
      </c>
      <c r="I83" s="165">
        <f t="shared" si="6"/>
        <v>9741.0439999999999</v>
      </c>
      <c r="J83" s="177">
        <f t="shared" si="5"/>
        <v>172.10833210695188</v>
      </c>
      <c r="K83" s="518"/>
      <c r="L83" s="519"/>
    </row>
    <row r="84" spans="1:13" s="10" customFormat="1" ht="12.95" customHeight="1">
      <c r="A84" s="298">
        <v>62</v>
      </c>
      <c r="B84" s="492" t="s">
        <v>152</v>
      </c>
      <c r="C84" s="493"/>
      <c r="D84" s="300">
        <f t="shared" si="4"/>
        <v>309</v>
      </c>
      <c r="E84" s="197">
        <v>33.340000000000003</v>
      </c>
      <c r="F84" s="165">
        <f t="shared" si="3"/>
        <v>32.942</v>
      </c>
      <c r="G84" s="165" t="s">
        <v>8</v>
      </c>
      <c r="H84" s="165">
        <f t="shared" si="7"/>
        <v>2110.7379999999998</v>
      </c>
      <c r="I84" s="165">
        <f t="shared" si="6"/>
        <v>9708.1020000000008</v>
      </c>
      <c r="J84" s="177">
        <f t="shared" si="5"/>
        <v>172.82349311229947</v>
      </c>
      <c r="K84" s="518"/>
      <c r="L84" s="519"/>
    </row>
    <row r="85" spans="1:13" s="10" customFormat="1" ht="12.95" customHeight="1">
      <c r="A85" s="298">
        <v>63</v>
      </c>
      <c r="B85" s="492" t="s">
        <v>152</v>
      </c>
      <c r="C85" s="493"/>
      <c r="D85" s="300">
        <f t="shared" si="4"/>
        <v>308</v>
      </c>
      <c r="E85" s="197">
        <v>33.22</v>
      </c>
      <c r="F85" s="165">
        <f t="shared" si="3"/>
        <v>32.821999999999996</v>
      </c>
      <c r="G85" s="165" t="s">
        <v>8</v>
      </c>
      <c r="H85" s="165">
        <f t="shared" si="7"/>
        <v>2143.56</v>
      </c>
      <c r="I85" s="165">
        <f t="shared" si="6"/>
        <v>9675.2800000000007</v>
      </c>
      <c r="J85" s="177">
        <f t="shared" si="5"/>
        <v>173.53604895339953</v>
      </c>
      <c r="K85" s="518"/>
      <c r="L85" s="519"/>
    </row>
    <row r="86" spans="1:13" s="10" customFormat="1" ht="12.95" customHeight="1">
      <c r="A86" s="298">
        <v>64</v>
      </c>
      <c r="B86" s="492" t="s">
        <v>152</v>
      </c>
      <c r="C86" s="493"/>
      <c r="D86" s="300">
        <f t="shared" si="4"/>
        <v>307</v>
      </c>
      <c r="E86" s="197">
        <v>33.549999999999997</v>
      </c>
      <c r="F86" s="165">
        <f t="shared" si="3"/>
        <v>33.151999999999994</v>
      </c>
      <c r="G86" s="165" t="s">
        <v>8</v>
      </c>
      <c r="H86" s="165">
        <f t="shared" si="7"/>
        <v>2176.712</v>
      </c>
      <c r="I86" s="165">
        <f t="shared" si="6"/>
        <v>9642.1280000000006</v>
      </c>
      <c r="J86" s="177">
        <f t="shared" si="5"/>
        <v>174.25576899618028</v>
      </c>
      <c r="K86" s="518"/>
      <c r="L86" s="519"/>
    </row>
    <row r="87" spans="1:13" s="10" customFormat="1" ht="12.95" customHeight="1">
      <c r="A87" s="298">
        <v>65</v>
      </c>
      <c r="B87" s="492" t="s">
        <v>152</v>
      </c>
      <c r="C87" s="493"/>
      <c r="D87" s="300">
        <f t="shared" si="4"/>
        <v>306</v>
      </c>
      <c r="E87" s="197">
        <v>33.159999999999997</v>
      </c>
      <c r="F87" s="165">
        <f t="shared" ref="F87:F150" si="8">E87-($C$10)</f>
        <v>32.761999999999993</v>
      </c>
      <c r="G87" s="165" t="s">
        <v>8</v>
      </c>
      <c r="H87" s="165">
        <f t="shared" si="7"/>
        <v>2209.4740000000002</v>
      </c>
      <c r="I87" s="165">
        <f t="shared" si="6"/>
        <v>9609.366</v>
      </c>
      <c r="J87" s="177">
        <f t="shared" si="5"/>
        <v>174.96702225515662</v>
      </c>
      <c r="K87" s="518"/>
      <c r="L87" s="519"/>
    </row>
    <row r="88" spans="1:13" s="10" customFormat="1" ht="12.95" customHeight="1">
      <c r="A88" s="298">
        <v>66</v>
      </c>
      <c r="B88" s="492" t="s">
        <v>152</v>
      </c>
      <c r="C88" s="493"/>
      <c r="D88" s="300">
        <f t="shared" si="4"/>
        <v>305</v>
      </c>
      <c r="E88" s="197">
        <v>33.17</v>
      </c>
      <c r="F88" s="165">
        <f t="shared" si="8"/>
        <v>32.771999999999998</v>
      </c>
      <c r="G88" s="165" t="s">
        <v>8</v>
      </c>
      <c r="H88" s="165">
        <f t="shared" si="7"/>
        <v>2242.2460000000001</v>
      </c>
      <c r="I88" s="165">
        <f t="shared" si="6"/>
        <v>9576.594000000001</v>
      </c>
      <c r="J88" s="177">
        <f t="shared" si="5"/>
        <v>175.67849261115356</v>
      </c>
      <c r="K88" s="518"/>
      <c r="L88" s="519"/>
    </row>
    <row r="89" spans="1:13" s="10" customFormat="1" ht="12.95" customHeight="1">
      <c r="A89" s="298">
        <v>67</v>
      </c>
      <c r="B89" s="492" t="s">
        <v>152</v>
      </c>
      <c r="C89" s="493"/>
      <c r="D89" s="300">
        <f t="shared" ref="D89:D152" si="9">D88-1</f>
        <v>304</v>
      </c>
      <c r="E89" s="197">
        <v>33.380000000000003</v>
      </c>
      <c r="F89" s="165">
        <f t="shared" si="8"/>
        <v>32.981999999999999</v>
      </c>
      <c r="G89" s="165" t="s">
        <v>8</v>
      </c>
      <c r="H89" s="165">
        <f t="shared" si="7"/>
        <v>2275.2280000000001</v>
      </c>
      <c r="I89" s="165">
        <f t="shared" si="6"/>
        <v>9543.612000000001</v>
      </c>
      <c r="J89" s="177">
        <f t="shared" si="5"/>
        <v>176.39452200458365</v>
      </c>
      <c r="K89" s="518"/>
      <c r="L89" s="519"/>
    </row>
    <row r="90" spans="1:13" s="10" customFormat="1">
      <c r="A90" s="298">
        <v>68</v>
      </c>
      <c r="B90" s="492" t="s">
        <v>152</v>
      </c>
      <c r="C90" s="493"/>
      <c r="D90" s="300">
        <f t="shared" si="9"/>
        <v>303</v>
      </c>
      <c r="E90" s="197">
        <v>33.090000000000003</v>
      </c>
      <c r="F90" s="165">
        <f t="shared" si="8"/>
        <v>32.692</v>
      </c>
      <c r="G90" s="165" t="s">
        <v>8</v>
      </c>
      <c r="H90" s="165">
        <f t="shared" si="7"/>
        <v>2307.92</v>
      </c>
      <c r="I90" s="165">
        <f t="shared" si="6"/>
        <v>9510.92</v>
      </c>
      <c r="J90" s="177">
        <f t="shared" si="5"/>
        <v>177.1042555844156</v>
      </c>
      <c r="K90" s="518"/>
      <c r="L90" s="519"/>
    </row>
    <row r="91" spans="1:13" s="10" customFormat="1" ht="12.95" customHeight="1">
      <c r="A91" s="298">
        <v>69</v>
      </c>
      <c r="B91" s="492" t="s">
        <v>152</v>
      </c>
      <c r="C91" s="493"/>
      <c r="D91" s="300">
        <f t="shared" si="9"/>
        <v>302</v>
      </c>
      <c r="E91" s="197">
        <v>33</v>
      </c>
      <c r="F91" s="165">
        <f t="shared" si="8"/>
        <v>32.601999999999997</v>
      </c>
      <c r="G91" s="165" t="s">
        <v>8</v>
      </c>
      <c r="H91" s="165">
        <f t="shared" si="7"/>
        <v>2340.5219999999999</v>
      </c>
      <c r="I91" s="165">
        <f t="shared" si="6"/>
        <v>9478.3179999999993</v>
      </c>
      <c r="J91" s="177">
        <f t="shared" si="5"/>
        <v>177.81203529106187</v>
      </c>
      <c r="K91" s="518"/>
      <c r="L91" s="519"/>
      <c r="M91" s="14"/>
    </row>
    <row r="92" spans="1:13" s="10" customFormat="1" ht="12.95" customHeight="1">
      <c r="A92" s="298">
        <v>70</v>
      </c>
      <c r="B92" s="492" t="s">
        <v>152</v>
      </c>
      <c r="C92" s="493"/>
      <c r="D92" s="300">
        <f t="shared" si="9"/>
        <v>301</v>
      </c>
      <c r="E92" s="197">
        <v>33.11</v>
      </c>
      <c r="F92" s="165">
        <f t="shared" si="8"/>
        <v>32.711999999999996</v>
      </c>
      <c r="G92" s="165" t="s">
        <v>8</v>
      </c>
      <c r="H92" s="165">
        <f t="shared" si="7"/>
        <v>2373.2339999999999</v>
      </c>
      <c r="I92" s="165">
        <f t="shared" si="6"/>
        <v>9445.6059999999998</v>
      </c>
      <c r="J92" s="177">
        <f t="shared" si="5"/>
        <v>178.52220306493507</v>
      </c>
      <c r="K92" s="518"/>
      <c r="L92" s="519"/>
    </row>
    <row r="93" spans="1:13" s="10" customFormat="1" ht="12.95" customHeight="1">
      <c r="A93" s="298">
        <v>71</v>
      </c>
      <c r="B93" s="492" t="s">
        <v>152</v>
      </c>
      <c r="C93" s="493"/>
      <c r="D93" s="300">
        <f t="shared" si="9"/>
        <v>300</v>
      </c>
      <c r="E93" s="197">
        <v>33.15</v>
      </c>
      <c r="F93" s="164">
        <f t="shared" si="8"/>
        <v>32.751999999999995</v>
      </c>
      <c r="G93" s="165" t="s">
        <v>8</v>
      </c>
      <c r="H93" s="165">
        <f t="shared" si="7"/>
        <v>2405.9859999999999</v>
      </c>
      <c r="I93" s="165">
        <f t="shared" si="6"/>
        <v>9412.8539999999994</v>
      </c>
      <c r="J93" s="177">
        <f t="shared" si="5"/>
        <v>179.23323922689076</v>
      </c>
      <c r="K93" s="518"/>
      <c r="L93" s="519"/>
    </row>
    <row r="94" spans="1:13" s="10" customFormat="1" ht="12.95" customHeight="1">
      <c r="A94" s="298">
        <v>72</v>
      </c>
      <c r="B94" s="492" t="s">
        <v>152</v>
      </c>
      <c r="C94" s="493"/>
      <c r="D94" s="300">
        <f t="shared" si="9"/>
        <v>299</v>
      </c>
      <c r="E94" s="197">
        <v>31.95</v>
      </c>
      <c r="F94" s="164">
        <f t="shared" si="8"/>
        <v>31.552</v>
      </c>
      <c r="G94" s="165" t="s">
        <v>8</v>
      </c>
      <c r="H94" s="164">
        <f t="shared" si="7"/>
        <v>2437.538</v>
      </c>
      <c r="I94" s="165">
        <f t="shared" si="6"/>
        <v>9381.3019999999997</v>
      </c>
      <c r="J94" s="177">
        <f t="shared" si="5"/>
        <v>179.91822374637127</v>
      </c>
      <c r="K94" s="518"/>
      <c r="L94" s="519"/>
    </row>
    <row r="95" spans="1:13" s="10" customFormat="1" ht="12.95" customHeight="1">
      <c r="A95" s="298">
        <v>73</v>
      </c>
      <c r="B95" s="492" t="s">
        <v>152</v>
      </c>
      <c r="C95" s="493"/>
      <c r="D95" s="300">
        <f t="shared" si="9"/>
        <v>298</v>
      </c>
      <c r="E95" s="197">
        <v>32.94</v>
      </c>
      <c r="F95" s="164">
        <f t="shared" si="8"/>
        <v>32.541999999999994</v>
      </c>
      <c r="G95" s="165" t="s">
        <v>8</v>
      </c>
      <c r="H95" s="164">
        <f t="shared" si="7"/>
        <v>2470.08</v>
      </c>
      <c r="I95" s="165">
        <f t="shared" si="6"/>
        <v>9348.76</v>
      </c>
      <c r="J95" s="177">
        <f t="shared" si="5"/>
        <v>180.62470087089383</v>
      </c>
      <c r="K95" s="518"/>
      <c r="L95" s="519"/>
    </row>
    <row r="96" spans="1:13" s="10" customFormat="1">
      <c r="A96" s="298">
        <v>74</v>
      </c>
      <c r="B96" s="492" t="s">
        <v>152</v>
      </c>
      <c r="C96" s="493"/>
      <c r="D96" s="300">
        <f t="shared" si="9"/>
        <v>297</v>
      </c>
      <c r="E96" s="197">
        <v>33.770000000000003</v>
      </c>
      <c r="F96" s="164">
        <f t="shared" si="8"/>
        <v>33.372</v>
      </c>
      <c r="G96" s="165" t="s">
        <v>8</v>
      </c>
      <c r="H96" s="164">
        <f t="shared" si="7"/>
        <v>2503.4519999999998</v>
      </c>
      <c r="I96" s="165">
        <f t="shared" si="6"/>
        <v>9315.3880000000008</v>
      </c>
      <c r="J96" s="177">
        <f t="shared" si="5"/>
        <v>181.34919704812836</v>
      </c>
      <c r="K96" s="518"/>
      <c r="L96" s="519"/>
      <c r="M96" s="14"/>
    </row>
    <row r="97" spans="1:13" s="10" customFormat="1">
      <c r="A97" s="298">
        <v>75</v>
      </c>
      <c r="B97" s="492" t="s">
        <v>152</v>
      </c>
      <c r="C97" s="493"/>
      <c r="D97" s="300">
        <f t="shared" si="9"/>
        <v>296</v>
      </c>
      <c r="E97" s="197">
        <v>33.700000000000003</v>
      </c>
      <c r="F97" s="164">
        <f t="shared" si="8"/>
        <v>33.302</v>
      </c>
      <c r="G97" s="165" t="s">
        <v>8</v>
      </c>
      <c r="H97" s="164">
        <f t="shared" si="7"/>
        <v>2536.7539999999999</v>
      </c>
      <c r="I97" s="165">
        <f t="shared" si="6"/>
        <v>9282.0859999999993</v>
      </c>
      <c r="J97" s="177">
        <f t="shared" si="5"/>
        <v>182.07217354621849</v>
      </c>
      <c r="K97" s="518"/>
      <c r="L97" s="519"/>
    </row>
    <row r="98" spans="1:13" s="10" customFormat="1">
      <c r="A98" s="298">
        <v>76</v>
      </c>
      <c r="B98" s="492" t="s">
        <v>152</v>
      </c>
      <c r="C98" s="493"/>
      <c r="D98" s="300">
        <f t="shared" si="9"/>
        <v>295</v>
      </c>
      <c r="E98" s="197">
        <v>33.43</v>
      </c>
      <c r="F98" s="164">
        <f t="shared" si="8"/>
        <v>33.031999999999996</v>
      </c>
      <c r="G98" s="165" t="s">
        <v>8</v>
      </c>
      <c r="H98" s="164">
        <f t="shared" si="7"/>
        <v>2569.7860000000001</v>
      </c>
      <c r="I98" s="165">
        <f t="shared" si="6"/>
        <v>9249.0540000000001</v>
      </c>
      <c r="J98" s="177">
        <f t="shared" si="5"/>
        <v>182.78928842475173</v>
      </c>
      <c r="K98" s="518"/>
      <c r="L98" s="519"/>
    </row>
    <row r="99" spans="1:13" s="10" customFormat="1">
      <c r="A99" s="298">
        <v>77</v>
      </c>
      <c r="B99" s="492" t="s">
        <v>152</v>
      </c>
      <c r="C99" s="493"/>
      <c r="D99" s="300">
        <f t="shared" si="9"/>
        <v>294</v>
      </c>
      <c r="E99" s="197">
        <v>33.5</v>
      </c>
      <c r="F99" s="164">
        <f t="shared" si="8"/>
        <v>33.101999999999997</v>
      </c>
      <c r="G99" s="165" t="s">
        <v>8</v>
      </c>
      <c r="H99" s="164">
        <f t="shared" si="7"/>
        <v>2602.8879999999999</v>
      </c>
      <c r="I99" s="165">
        <f t="shared" si="6"/>
        <v>9215.9520000000011</v>
      </c>
      <c r="J99" s="177">
        <f t="shared" si="5"/>
        <v>183.50792298242933</v>
      </c>
      <c r="K99" s="518"/>
      <c r="L99" s="519"/>
    </row>
    <row r="100" spans="1:13" s="10" customFormat="1">
      <c r="A100" s="298">
        <v>78</v>
      </c>
      <c r="B100" s="492" t="s">
        <v>152</v>
      </c>
      <c r="C100" s="493"/>
      <c r="D100" s="300">
        <f t="shared" si="9"/>
        <v>293</v>
      </c>
      <c r="E100" s="197">
        <v>33.28</v>
      </c>
      <c r="F100" s="164">
        <f t="shared" si="8"/>
        <v>32.881999999999998</v>
      </c>
      <c r="G100" s="165" t="s">
        <v>8</v>
      </c>
      <c r="H100" s="164">
        <f t="shared" si="7"/>
        <v>2635.77</v>
      </c>
      <c r="I100" s="165">
        <f t="shared" si="6"/>
        <v>9183.07</v>
      </c>
      <c r="J100" s="177">
        <f t="shared" si="5"/>
        <v>184.22178140565319</v>
      </c>
      <c r="K100" s="518"/>
      <c r="L100" s="519"/>
    </row>
    <row r="101" spans="1:13" s="10" customFormat="1">
      <c r="A101" s="298">
        <v>79</v>
      </c>
      <c r="B101" s="492" t="s">
        <v>152</v>
      </c>
      <c r="C101" s="493"/>
      <c r="D101" s="300">
        <f t="shared" si="9"/>
        <v>292</v>
      </c>
      <c r="E101" s="197">
        <v>33.35</v>
      </c>
      <c r="F101" s="164">
        <f t="shared" si="8"/>
        <v>32.951999999999998</v>
      </c>
      <c r="G101" s="165" t="s">
        <v>8</v>
      </c>
      <c r="H101" s="164">
        <f t="shared" si="7"/>
        <v>2668.7219999999998</v>
      </c>
      <c r="I101" s="165">
        <f t="shared" si="6"/>
        <v>9150.1180000000004</v>
      </c>
      <c r="J101" s="177">
        <f t="shared" si="5"/>
        <v>184.93715950802141</v>
      </c>
      <c r="K101" s="518"/>
      <c r="L101" s="519"/>
      <c r="M101" s="14"/>
    </row>
    <row r="102" spans="1:13" s="10" customFormat="1">
      <c r="A102" s="298">
        <v>80</v>
      </c>
      <c r="B102" s="492" t="s">
        <v>152</v>
      </c>
      <c r="C102" s="493"/>
      <c r="D102" s="300">
        <f t="shared" si="9"/>
        <v>291</v>
      </c>
      <c r="E102" s="197">
        <v>33.53</v>
      </c>
      <c r="F102" s="164">
        <f t="shared" si="8"/>
        <v>33.131999999999998</v>
      </c>
      <c r="G102" s="165" t="s">
        <v>8</v>
      </c>
      <c r="H102" s="164">
        <f t="shared" si="7"/>
        <v>2701.8539999999998</v>
      </c>
      <c r="I102" s="165">
        <f t="shared" si="6"/>
        <v>9116.9860000000008</v>
      </c>
      <c r="J102" s="177">
        <f t="shared" si="5"/>
        <v>185.65644535676091</v>
      </c>
      <c r="K102" s="518"/>
      <c r="L102" s="519"/>
    </row>
    <row r="103" spans="1:13" s="10" customFormat="1">
      <c r="A103" s="298">
        <v>81</v>
      </c>
      <c r="B103" s="492" t="s">
        <v>152</v>
      </c>
      <c r="C103" s="493"/>
      <c r="D103" s="300">
        <f t="shared" si="9"/>
        <v>290</v>
      </c>
      <c r="E103" s="197">
        <v>33.700000000000003</v>
      </c>
      <c r="F103" s="164">
        <f t="shared" si="8"/>
        <v>33.302</v>
      </c>
      <c r="G103" s="165" t="s">
        <v>8</v>
      </c>
      <c r="H103" s="164">
        <f t="shared" si="7"/>
        <v>2735.1559999999999</v>
      </c>
      <c r="I103" s="165">
        <f t="shared" si="6"/>
        <v>9083.6840000000011</v>
      </c>
      <c r="J103" s="177">
        <f t="shared" si="5"/>
        <v>186.37942185485105</v>
      </c>
      <c r="K103" s="518"/>
      <c r="L103" s="519"/>
    </row>
    <row r="104" spans="1:13" s="10" customFormat="1">
      <c r="A104" s="298">
        <v>82</v>
      </c>
      <c r="B104" s="492" t="s">
        <v>152</v>
      </c>
      <c r="C104" s="493"/>
      <c r="D104" s="300">
        <f t="shared" si="9"/>
        <v>289</v>
      </c>
      <c r="E104" s="197">
        <v>33.78</v>
      </c>
      <c r="F104" s="164">
        <f t="shared" si="8"/>
        <v>33.381999999999998</v>
      </c>
      <c r="G104" s="165" t="s">
        <v>8</v>
      </c>
      <c r="H104" s="164">
        <f t="shared" si="7"/>
        <v>2768.538</v>
      </c>
      <c r="I104" s="165">
        <f t="shared" si="6"/>
        <v>9050.3019999999997</v>
      </c>
      <c r="J104" s="177">
        <f t="shared" si="5"/>
        <v>187.1041351291062</v>
      </c>
      <c r="K104" s="518"/>
      <c r="L104" s="519"/>
    </row>
    <row r="105" spans="1:13" s="10" customFormat="1">
      <c r="A105" s="298">
        <v>83</v>
      </c>
      <c r="B105" s="492" t="s">
        <v>152</v>
      </c>
      <c r="C105" s="493"/>
      <c r="D105" s="300">
        <f t="shared" si="9"/>
        <v>288</v>
      </c>
      <c r="E105" s="197">
        <v>33.880000000000003</v>
      </c>
      <c r="F105" s="164">
        <f t="shared" si="8"/>
        <v>33.481999999999999</v>
      </c>
      <c r="G105" s="165" t="s">
        <v>8</v>
      </c>
      <c r="H105" s="164">
        <f t="shared" si="7"/>
        <v>2802.02</v>
      </c>
      <c r="I105" s="165">
        <f t="shared" si="6"/>
        <v>9016.82</v>
      </c>
      <c r="J105" s="177">
        <f t="shared" si="5"/>
        <v>187.83101937356761</v>
      </c>
      <c r="K105" s="518"/>
      <c r="L105" s="519"/>
    </row>
    <row r="106" spans="1:13" s="10" customFormat="1">
      <c r="A106" s="298">
        <v>84</v>
      </c>
      <c r="B106" s="492" t="s">
        <v>152</v>
      </c>
      <c r="C106" s="493"/>
      <c r="D106" s="300">
        <f t="shared" si="9"/>
        <v>287</v>
      </c>
      <c r="E106" s="197">
        <v>33.5</v>
      </c>
      <c r="F106" s="164">
        <f t="shared" si="8"/>
        <v>33.101999999999997</v>
      </c>
      <c r="G106" s="165" t="s">
        <v>8</v>
      </c>
      <c r="H106" s="164">
        <f t="shared" si="7"/>
        <v>2835.1219999999998</v>
      </c>
      <c r="I106" s="165">
        <f t="shared" si="6"/>
        <v>8983.7180000000008</v>
      </c>
      <c r="J106" s="177">
        <f t="shared" si="5"/>
        <v>188.54965393124522</v>
      </c>
      <c r="K106" s="518"/>
      <c r="L106" s="519"/>
    </row>
    <row r="107" spans="1:13" s="10" customFormat="1">
      <c r="A107" s="298">
        <v>85</v>
      </c>
      <c r="B107" s="492" t="s">
        <v>152</v>
      </c>
      <c r="C107" s="493"/>
      <c r="D107" s="300">
        <f t="shared" si="9"/>
        <v>286</v>
      </c>
      <c r="E107" s="197">
        <v>32.17</v>
      </c>
      <c r="F107" s="164">
        <f t="shared" si="8"/>
        <v>31.772000000000002</v>
      </c>
      <c r="G107" s="165" t="s">
        <v>8</v>
      </c>
      <c r="H107" s="164">
        <f t="shared" si="7"/>
        <v>2866.8939999999998</v>
      </c>
      <c r="I107" s="165">
        <f t="shared" si="6"/>
        <v>8951.9459999999999</v>
      </c>
      <c r="J107" s="177">
        <f t="shared" si="5"/>
        <v>189.23941458517953</v>
      </c>
      <c r="K107" s="518"/>
      <c r="L107" s="519"/>
    </row>
    <row r="108" spans="1:13" s="10" customFormat="1">
      <c r="A108" s="298">
        <v>86</v>
      </c>
      <c r="B108" s="492" t="s">
        <v>152</v>
      </c>
      <c r="C108" s="493"/>
      <c r="D108" s="300">
        <f t="shared" si="9"/>
        <v>285</v>
      </c>
      <c r="E108" s="197">
        <v>33.31</v>
      </c>
      <c r="F108" s="164">
        <f t="shared" si="8"/>
        <v>32.911999999999999</v>
      </c>
      <c r="G108" s="165" t="s">
        <v>8</v>
      </c>
      <c r="H108" s="164">
        <f t="shared" si="7"/>
        <v>2899.8059999999996</v>
      </c>
      <c r="I108" s="165">
        <f t="shared" si="6"/>
        <v>8919.0339999999997</v>
      </c>
      <c r="J108" s="177">
        <f t="shared" si="5"/>
        <v>189.95392429946523</v>
      </c>
      <c r="K108" s="518"/>
      <c r="L108" s="519"/>
    </row>
    <row r="109" spans="1:13" s="10" customFormat="1">
      <c r="A109" s="298">
        <v>87</v>
      </c>
      <c r="B109" s="492" t="s">
        <v>152</v>
      </c>
      <c r="C109" s="493"/>
      <c r="D109" s="300">
        <f t="shared" si="9"/>
        <v>284</v>
      </c>
      <c r="E109" s="197">
        <v>33.24</v>
      </c>
      <c r="F109" s="164">
        <f t="shared" si="8"/>
        <v>32.841999999999999</v>
      </c>
      <c r="G109" s="165" t="s">
        <v>8</v>
      </c>
      <c r="H109" s="164">
        <f t="shared" si="7"/>
        <v>2932.6479999999997</v>
      </c>
      <c r="I109" s="165">
        <f t="shared" si="6"/>
        <v>8886.1920000000009</v>
      </c>
      <c r="J109" s="177">
        <f t="shared" si="5"/>
        <v>190.66691433460659</v>
      </c>
      <c r="K109" s="518"/>
      <c r="L109" s="519"/>
    </row>
    <row r="110" spans="1:13" s="10" customFormat="1" ht="12.95" customHeight="1">
      <c r="A110" s="298">
        <v>88</v>
      </c>
      <c r="B110" s="492" t="s">
        <v>152</v>
      </c>
      <c r="C110" s="493"/>
      <c r="D110" s="300">
        <f t="shared" si="9"/>
        <v>283</v>
      </c>
      <c r="E110" s="197">
        <v>33.93</v>
      </c>
      <c r="F110" s="165">
        <f t="shared" si="8"/>
        <v>33.531999999999996</v>
      </c>
      <c r="G110" s="165" t="s">
        <v>8</v>
      </c>
      <c r="H110" s="164">
        <f t="shared" si="7"/>
        <v>2966.18</v>
      </c>
      <c r="I110" s="165">
        <f t="shared" si="6"/>
        <v>8852.66</v>
      </c>
      <c r="J110" s="177">
        <f t="shared" si="5"/>
        <v>191.39488406417112</v>
      </c>
      <c r="K110" s="518"/>
      <c r="L110" s="519"/>
    </row>
    <row r="111" spans="1:13" s="10" customFormat="1" ht="12.95" customHeight="1">
      <c r="A111" s="298">
        <v>89</v>
      </c>
      <c r="B111" s="492" t="s">
        <v>152</v>
      </c>
      <c r="C111" s="493"/>
      <c r="D111" s="300">
        <f t="shared" si="9"/>
        <v>282</v>
      </c>
      <c r="E111" s="197">
        <v>33.020000000000003</v>
      </c>
      <c r="F111" s="165">
        <f t="shared" si="8"/>
        <v>32.622</v>
      </c>
      <c r="G111" s="165" t="s">
        <v>8</v>
      </c>
      <c r="H111" s="165">
        <f t="shared" si="7"/>
        <v>2998.8019999999997</v>
      </c>
      <c r="I111" s="165">
        <f t="shared" si="6"/>
        <v>8820.0380000000005</v>
      </c>
      <c r="J111" s="177">
        <f t="shared" si="5"/>
        <v>192.10309796485865</v>
      </c>
      <c r="K111" s="518"/>
      <c r="L111" s="519"/>
    </row>
    <row r="112" spans="1:13" s="10" customFormat="1" ht="12.95" customHeight="1">
      <c r="A112" s="298">
        <v>90</v>
      </c>
      <c r="B112" s="492" t="s">
        <v>152</v>
      </c>
      <c r="C112" s="493"/>
      <c r="D112" s="300">
        <f t="shared" si="9"/>
        <v>281</v>
      </c>
      <c r="E112" s="197">
        <v>33.42</v>
      </c>
      <c r="F112" s="165">
        <f t="shared" si="8"/>
        <v>33.021999999999998</v>
      </c>
      <c r="G112" s="165" t="s">
        <v>8</v>
      </c>
      <c r="H112" s="165">
        <f t="shared" si="7"/>
        <v>3031.8239999999996</v>
      </c>
      <c r="I112" s="165">
        <f t="shared" si="6"/>
        <v>8787.0159999999996</v>
      </c>
      <c r="J112" s="177">
        <f t="shared" si="5"/>
        <v>192.81999574637126</v>
      </c>
      <c r="K112" s="518"/>
      <c r="L112" s="519"/>
    </row>
    <row r="113" spans="1:13" s="10" customFormat="1" ht="12.95" customHeight="1">
      <c r="A113" s="298">
        <v>91</v>
      </c>
      <c r="B113" s="492" t="s">
        <v>152</v>
      </c>
      <c r="C113" s="493"/>
      <c r="D113" s="300">
        <f t="shared" si="9"/>
        <v>280</v>
      </c>
      <c r="E113" s="197">
        <v>33.69</v>
      </c>
      <c r="F113" s="165">
        <f t="shared" si="8"/>
        <v>33.291999999999994</v>
      </c>
      <c r="G113" s="165" t="s">
        <v>8</v>
      </c>
      <c r="H113" s="165">
        <f t="shared" si="7"/>
        <v>3065.1159999999995</v>
      </c>
      <c r="I113" s="165">
        <f t="shared" si="6"/>
        <v>8753.7240000000002</v>
      </c>
      <c r="J113" s="177">
        <f t="shared" si="5"/>
        <v>193.5427551474408</v>
      </c>
      <c r="K113" s="518"/>
      <c r="L113" s="519"/>
      <c r="M113" s="14"/>
    </row>
    <row r="114" spans="1:13" s="10" customFormat="1" ht="12.95" customHeight="1">
      <c r="A114" s="298">
        <v>92</v>
      </c>
      <c r="B114" s="492" t="s">
        <v>152</v>
      </c>
      <c r="C114" s="493"/>
      <c r="D114" s="300">
        <f t="shared" si="9"/>
        <v>279</v>
      </c>
      <c r="E114" s="197">
        <v>33.61</v>
      </c>
      <c r="F114" s="165">
        <f t="shared" si="8"/>
        <v>33.211999999999996</v>
      </c>
      <c r="G114" s="165" t="s">
        <v>8</v>
      </c>
      <c r="H114" s="165">
        <f t="shared" si="7"/>
        <v>3098.3279999999995</v>
      </c>
      <c r="I114" s="165">
        <f t="shared" si="6"/>
        <v>8720.5120000000006</v>
      </c>
      <c r="J114" s="177">
        <f t="shared" si="5"/>
        <v>194.26377777234529</v>
      </c>
      <c r="K114" s="518"/>
      <c r="L114" s="519"/>
    </row>
    <row r="115" spans="1:13" s="10" customFormat="1" ht="12.95" customHeight="1">
      <c r="A115" s="298">
        <v>93</v>
      </c>
      <c r="B115" s="492" t="s">
        <v>152</v>
      </c>
      <c r="C115" s="493"/>
      <c r="D115" s="300">
        <f t="shared" si="9"/>
        <v>278</v>
      </c>
      <c r="E115" s="197">
        <v>33.79</v>
      </c>
      <c r="F115" s="164">
        <f t="shared" si="8"/>
        <v>33.391999999999996</v>
      </c>
      <c r="G115" s="165" t="s">
        <v>8</v>
      </c>
      <c r="H115" s="165">
        <f t="shared" si="7"/>
        <v>3131.7199999999993</v>
      </c>
      <c r="I115" s="165">
        <f t="shared" si="6"/>
        <v>8687.1200000000008</v>
      </c>
      <c r="J115" s="177">
        <f t="shared" si="5"/>
        <v>194.98870814362107</v>
      </c>
      <c r="K115" s="518"/>
      <c r="L115" s="519"/>
    </row>
    <row r="116" spans="1:13" s="10" customFormat="1" ht="12.95" customHeight="1">
      <c r="A116" s="298">
        <v>94</v>
      </c>
      <c r="B116" s="492" t="s">
        <v>152</v>
      </c>
      <c r="C116" s="493"/>
      <c r="D116" s="300">
        <f t="shared" si="9"/>
        <v>277</v>
      </c>
      <c r="E116" s="197">
        <v>33.32</v>
      </c>
      <c r="F116" s="164">
        <f t="shared" si="8"/>
        <v>32.921999999999997</v>
      </c>
      <c r="G116" s="165" t="s">
        <v>8</v>
      </c>
      <c r="H116" s="165">
        <f t="shared" si="7"/>
        <v>3164.6419999999994</v>
      </c>
      <c r="I116" s="165">
        <f t="shared" si="6"/>
        <v>8654.1980000000003</v>
      </c>
      <c r="J116" s="177">
        <f t="shared" si="5"/>
        <v>195.70343495492742</v>
      </c>
      <c r="K116" s="518"/>
      <c r="L116" s="519"/>
    </row>
    <row r="117" spans="1:13" s="10" customFormat="1" ht="12.95" customHeight="1">
      <c r="A117" s="298">
        <v>95</v>
      </c>
      <c r="B117" s="492" t="s">
        <v>152</v>
      </c>
      <c r="C117" s="493"/>
      <c r="D117" s="300">
        <f t="shared" si="9"/>
        <v>276</v>
      </c>
      <c r="E117" s="197">
        <v>33.64</v>
      </c>
      <c r="F117" s="164">
        <f t="shared" si="8"/>
        <v>33.241999999999997</v>
      </c>
      <c r="G117" s="165" t="s">
        <v>8</v>
      </c>
      <c r="H117" s="165">
        <f t="shared" si="7"/>
        <v>3197.8839999999996</v>
      </c>
      <c r="I117" s="165">
        <f t="shared" si="6"/>
        <v>8620.9560000000001</v>
      </c>
      <c r="J117" s="177">
        <f t="shared" si="5"/>
        <v>196.42510887089381</v>
      </c>
      <c r="K117" s="518"/>
      <c r="L117" s="519"/>
    </row>
    <row r="118" spans="1:13" s="10" customFormat="1">
      <c r="A118" s="298">
        <v>96</v>
      </c>
      <c r="B118" s="492" t="s">
        <v>152</v>
      </c>
      <c r="C118" s="493"/>
      <c r="D118" s="300">
        <f t="shared" si="9"/>
        <v>275</v>
      </c>
      <c r="E118" s="197">
        <v>33.18</v>
      </c>
      <c r="F118" s="164">
        <f t="shared" si="8"/>
        <v>32.781999999999996</v>
      </c>
      <c r="G118" s="165" t="s">
        <v>8</v>
      </c>
      <c r="H118" s="165">
        <f t="shared" si="7"/>
        <v>3230.6659999999997</v>
      </c>
      <c r="I118" s="165">
        <f t="shared" si="6"/>
        <v>8588.1740000000009</v>
      </c>
      <c r="J118" s="177">
        <f t="shared" si="5"/>
        <v>197.13679632391137</v>
      </c>
      <c r="K118" s="518"/>
      <c r="L118" s="519"/>
      <c r="M118" s="14"/>
    </row>
    <row r="119" spans="1:13" s="10" customFormat="1">
      <c r="A119" s="298">
        <v>97</v>
      </c>
      <c r="B119" s="492" t="s">
        <v>152</v>
      </c>
      <c r="C119" s="493"/>
      <c r="D119" s="300">
        <f t="shared" si="9"/>
        <v>274</v>
      </c>
      <c r="E119" s="197">
        <v>32.92</v>
      </c>
      <c r="F119" s="164">
        <f t="shared" si="8"/>
        <v>32.521999999999998</v>
      </c>
      <c r="G119" s="165" t="s">
        <v>8</v>
      </c>
      <c r="H119" s="164">
        <f t="shared" si="7"/>
        <v>3263.1879999999996</v>
      </c>
      <c r="I119" s="165">
        <f t="shared" si="6"/>
        <v>8555.652</v>
      </c>
      <c r="J119" s="177">
        <f t="shared" si="5"/>
        <v>197.84283925439269</v>
      </c>
      <c r="K119" s="518"/>
      <c r="L119" s="519"/>
    </row>
    <row r="120" spans="1:13" s="10" customFormat="1">
      <c r="A120" s="298">
        <v>98</v>
      </c>
      <c r="B120" s="492" t="s">
        <v>152</v>
      </c>
      <c r="C120" s="493"/>
      <c r="D120" s="300">
        <f t="shared" si="9"/>
        <v>273</v>
      </c>
      <c r="E120" s="197">
        <v>33.83</v>
      </c>
      <c r="F120" s="164">
        <f t="shared" si="8"/>
        <v>33.431999999999995</v>
      </c>
      <c r="G120" s="165" t="s">
        <v>8</v>
      </c>
      <c r="H120" s="164">
        <f t="shared" si="7"/>
        <v>3296.6199999999994</v>
      </c>
      <c r="I120" s="165">
        <f t="shared" si="6"/>
        <v>8522.2200000000012</v>
      </c>
      <c r="J120" s="177">
        <f t="shared" si="5"/>
        <v>198.56863801375096</v>
      </c>
      <c r="K120" s="518"/>
      <c r="L120" s="519"/>
    </row>
    <row r="121" spans="1:13" s="10" customFormat="1">
      <c r="A121" s="298">
        <v>99</v>
      </c>
      <c r="B121" s="492" t="s">
        <v>152</v>
      </c>
      <c r="C121" s="493"/>
      <c r="D121" s="300">
        <f t="shared" si="9"/>
        <v>272</v>
      </c>
      <c r="E121" s="197">
        <v>33.65</v>
      </c>
      <c r="F121" s="164">
        <f t="shared" si="8"/>
        <v>33.251999999999995</v>
      </c>
      <c r="G121" s="165" t="s">
        <v>8</v>
      </c>
      <c r="H121" s="164">
        <f t="shared" si="7"/>
        <v>3329.8719999999994</v>
      </c>
      <c r="I121" s="165">
        <f t="shared" si="6"/>
        <v>8488.9680000000008</v>
      </c>
      <c r="J121" s="177">
        <f t="shared" si="5"/>
        <v>199.29052902673797</v>
      </c>
      <c r="K121" s="518"/>
      <c r="L121" s="519"/>
    </row>
    <row r="122" spans="1:13" s="10" customFormat="1">
      <c r="A122" s="298">
        <v>100</v>
      </c>
      <c r="B122" s="492" t="s">
        <v>152</v>
      </c>
      <c r="C122" s="493"/>
      <c r="D122" s="300">
        <f t="shared" si="9"/>
        <v>271</v>
      </c>
      <c r="E122" s="197">
        <v>33.94</v>
      </c>
      <c r="F122" s="164">
        <f t="shared" si="8"/>
        <v>33.541999999999994</v>
      </c>
      <c r="G122" s="165" t="s">
        <v>8</v>
      </c>
      <c r="H122" s="164">
        <f t="shared" si="7"/>
        <v>3363.4139999999993</v>
      </c>
      <c r="I122" s="165">
        <f t="shared" si="6"/>
        <v>8455.4260000000013</v>
      </c>
      <c r="J122" s="177">
        <f t="shared" si="5"/>
        <v>200.01871585332316</v>
      </c>
      <c r="K122" s="518"/>
      <c r="L122" s="519"/>
    </row>
    <row r="123" spans="1:13" s="10" customFormat="1">
      <c r="A123" s="298">
        <v>101</v>
      </c>
      <c r="B123" s="492" t="s">
        <v>152</v>
      </c>
      <c r="C123" s="493"/>
      <c r="D123" s="300">
        <f t="shared" si="9"/>
        <v>270</v>
      </c>
      <c r="E123" s="197">
        <v>33.35</v>
      </c>
      <c r="F123" s="164">
        <f t="shared" si="8"/>
        <v>32.951999999999998</v>
      </c>
      <c r="G123" s="165" t="s">
        <v>8</v>
      </c>
      <c r="H123" s="164">
        <f t="shared" si="7"/>
        <v>3396.3659999999991</v>
      </c>
      <c r="I123" s="165">
        <f t="shared" si="6"/>
        <v>8422.474000000002</v>
      </c>
      <c r="J123" s="177">
        <f t="shared" si="5"/>
        <v>200.73409395569135</v>
      </c>
      <c r="K123" s="518"/>
      <c r="L123" s="519"/>
      <c r="M123" s="14"/>
    </row>
    <row r="124" spans="1:13" s="10" customFormat="1">
      <c r="A124" s="298">
        <v>102</v>
      </c>
      <c r="B124" s="492" t="s">
        <v>152</v>
      </c>
      <c r="C124" s="493"/>
      <c r="D124" s="300">
        <f t="shared" si="9"/>
        <v>269</v>
      </c>
      <c r="E124" s="197">
        <v>33.19</v>
      </c>
      <c r="F124" s="164">
        <f t="shared" si="8"/>
        <v>32.791999999999994</v>
      </c>
      <c r="G124" s="165" t="s">
        <v>8</v>
      </c>
      <c r="H124" s="164">
        <f t="shared" si="7"/>
        <v>3429.157999999999</v>
      </c>
      <c r="I124" s="165">
        <f t="shared" si="6"/>
        <v>8389.6820000000007</v>
      </c>
      <c r="J124" s="177">
        <f t="shared" si="5"/>
        <v>201.44599850572956</v>
      </c>
      <c r="K124" s="518"/>
      <c r="L124" s="519"/>
    </row>
    <row r="125" spans="1:13" s="10" customFormat="1">
      <c r="A125" s="298">
        <v>103</v>
      </c>
      <c r="B125" s="492" t="s">
        <v>152</v>
      </c>
      <c r="C125" s="493"/>
      <c r="D125" s="300">
        <f t="shared" si="9"/>
        <v>268</v>
      </c>
      <c r="E125" s="197">
        <v>32.01</v>
      </c>
      <c r="F125" s="164">
        <f t="shared" si="8"/>
        <v>31.611999999999998</v>
      </c>
      <c r="G125" s="165" t="s">
        <v>8</v>
      </c>
      <c r="H125" s="164">
        <f t="shared" si="7"/>
        <v>3460.7699999999991</v>
      </c>
      <c r="I125" s="165">
        <f t="shared" si="6"/>
        <v>8358.0700000000015</v>
      </c>
      <c r="J125" s="177">
        <f t="shared" si="5"/>
        <v>202.13228560733381</v>
      </c>
      <c r="K125" s="518"/>
      <c r="L125" s="519"/>
    </row>
    <row r="126" spans="1:13" s="10" customFormat="1">
      <c r="A126" s="298">
        <v>104</v>
      </c>
      <c r="B126" s="492" t="s">
        <v>152</v>
      </c>
      <c r="C126" s="493"/>
      <c r="D126" s="300">
        <f t="shared" si="9"/>
        <v>267</v>
      </c>
      <c r="E126" s="197">
        <v>33.35</v>
      </c>
      <c r="F126" s="164">
        <f t="shared" si="8"/>
        <v>32.951999999999998</v>
      </c>
      <c r="G126" s="165" t="s">
        <v>8</v>
      </c>
      <c r="H126" s="164">
        <f t="shared" si="7"/>
        <v>3493.7219999999988</v>
      </c>
      <c r="I126" s="165">
        <f t="shared" si="6"/>
        <v>8325.1180000000022</v>
      </c>
      <c r="J126" s="177">
        <f t="shared" si="5"/>
        <v>202.84766370970203</v>
      </c>
      <c r="K126" s="518"/>
      <c r="L126" s="519"/>
    </row>
    <row r="127" spans="1:13" s="10" customFormat="1">
      <c r="A127" s="298">
        <v>105</v>
      </c>
      <c r="B127" s="492" t="s">
        <v>152</v>
      </c>
      <c r="C127" s="493"/>
      <c r="D127" s="300">
        <f t="shared" si="9"/>
        <v>266</v>
      </c>
      <c r="E127" s="197">
        <v>33.72</v>
      </c>
      <c r="F127" s="164">
        <f t="shared" si="8"/>
        <v>33.321999999999996</v>
      </c>
      <c r="G127" s="165" t="s">
        <v>8</v>
      </c>
      <c r="H127" s="164">
        <f t="shared" si="7"/>
        <v>3527.043999999999</v>
      </c>
      <c r="I127" s="165">
        <f t="shared" si="6"/>
        <v>8291.7960000000021</v>
      </c>
      <c r="J127" s="177">
        <f t="shared" si="5"/>
        <v>203.57107440183347</v>
      </c>
      <c r="K127" s="518"/>
      <c r="L127" s="519"/>
    </row>
    <row r="128" spans="1:13" s="10" customFormat="1">
      <c r="A128" s="298">
        <v>106</v>
      </c>
      <c r="B128" s="492" t="s">
        <v>152</v>
      </c>
      <c r="C128" s="493"/>
      <c r="D128" s="300">
        <f t="shared" si="9"/>
        <v>265</v>
      </c>
      <c r="E128" s="197">
        <v>33.61</v>
      </c>
      <c r="F128" s="164">
        <f t="shared" si="8"/>
        <v>33.211999999999996</v>
      </c>
      <c r="G128" s="165" t="s">
        <v>8</v>
      </c>
      <c r="H128" s="164">
        <f t="shared" si="7"/>
        <v>3560.2559999999989</v>
      </c>
      <c r="I128" s="165">
        <f t="shared" si="6"/>
        <v>8258.5840000000007</v>
      </c>
      <c r="J128" s="177">
        <f t="shared" si="5"/>
        <v>204.29209702673796</v>
      </c>
      <c r="K128" s="518"/>
      <c r="L128" s="519"/>
    </row>
    <row r="129" spans="1:13" s="10" customFormat="1">
      <c r="A129" s="298">
        <v>107</v>
      </c>
      <c r="B129" s="492" t="s">
        <v>152</v>
      </c>
      <c r="C129" s="493"/>
      <c r="D129" s="300">
        <f t="shared" si="9"/>
        <v>264</v>
      </c>
      <c r="E129" s="197">
        <v>33.42</v>
      </c>
      <c r="F129" s="164">
        <f t="shared" si="8"/>
        <v>33.021999999999998</v>
      </c>
      <c r="G129" s="165" t="s">
        <v>8</v>
      </c>
      <c r="H129" s="164">
        <f t="shared" si="7"/>
        <v>3593.2779999999989</v>
      </c>
      <c r="I129" s="165">
        <f t="shared" si="6"/>
        <v>8225.5620000000017</v>
      </c>
      <c r="J129" s="177">
        <f t="shared" si="5"/>
        <v>205.00899480825058</v>
      </c>
      <c r="K129" s="518"/>
      <c r="L129" s="519"/>
    </row>
    <row r="130" spans="1:13" s="10" customFormat="1">
      <c r="A130" s="298">
        <v>108</v>
      </c>
      <c r="B130" s="492" t="s">
        <v>152</v>
      </c>
      <c r="C130" s="493"/>
      <c r="D130" s="300">
        <f t="shared" si="9"/>
        <v>263</v>
      </c>
      <c r="E130" s="197">
        <v>33.78</v>
      </c>
      <c r="F130" s="164">
        <f t="shared" si="8"/>
        <v>33.381999999999998</v>
      </c>
      <c r="G130" s="165" t="s">
        <v>8</v>
      </c>
      <c r="H130" s="164">
        <f t="shared" si="7"/>
        <v>3626.6599999999989</v>
      </c>
      <c r="I130" s="165">
        <f t="shared" si="6"/>
        <v>8192.18</v>
      </c>
      <c r="J130" s="177">
        <f t="shared" si="5"/>
        <v>205.7337080825057</v>
      </c>
      <c r="K130" s="518"/>
      <c r="L130" s="519"/>
    </row>
    <row r="131" spans="1:13" s="10" customFormat="1" ht="12.95" customHeight="1">
      <c r="A131" s="298">
        <v>109</v>
      </c>
      <c r="B131" s="492" t="s">
        <v>152</v>
      </c>
      <c r="C131" s="493"/>
      <c r="D131" s="300">
        <f t="shared" si="9"/>
        <v>262</v>
      </c>
      <c r="E131" s="197">
        <v>33.56</v>
      </c>
      <c r="F131" s="164">
        <f t="shared" si="8"/>
        <v>33.161999999999999</v>
      </c>
      <c r="G131" s="165" t="s">
        <v>8</v>
      </c>
      <c r="H131" s="164">
        <f t="shared" si="7"/>
        <v>3659.8219999999988</v>
      </c>
      <c r="I131" s="165">
        <f t="shared" si="6"/>
        <v>8159.0180000000018</v>
      </c>
      <c r="J131" s="177">
        <f t="shared" si="5"/>
        <v>206.4536452223071</v>
      </c>
      <c r="K131" s="518"/>
      <c r="L131" s="519"/>
    </row>
    <row r="132" spans="1:13" s="10" customFormat="1" ht="12.95" customHeight="1">
      <c r="A132" s="298">
        <v>110</v>
      </c>
      <c r="B132" s="492" t="s">
        <v>152</v>
      </c>
      <c r="C132" s="493"/>
      <c r="D132" s="300">
        <f t="shared" si="9"/>
        <v>261</v>
      </c>
      <c r="E132" s="197">
        <v>33.380000000000003</v>
      </c>
      <c r="F132" s="164">
        <f t="shared" si="8"/>
        <v>32.981999999999999</v>
      </c>
      <c r="G132" s="165" t="s">
        <v>8</v>
      </c>
      <c r="H132" s="164">
        <f t="shared" si="7"/>
        <v>3692.8039999999987</v>
      </c>
      <c r="I132" s="165">
        <f t="shared" si="6"/>
        <v>8126.0360000000019</v>
      </c>
      <c r="J132" s="177">
        <f t="shared" si="5"/>
        <v>207.16967461573716</v>
      </c>
      <c r="K132" s="518"/>
      <c r="L132" s="519"/>
    </row>
    <row r="133" spans="1:13" s="10" customFormat="1">
      <c r="A133" s="298">
        <v>111</v>
      </c>
      <c r="B133" s="492" t="s">
        <v>152</v>
      </c>
      <c r="C133" s="493"/>
      <c r="D133" s="300">
        <f t="shared" si="9"/>
        <v>260</v>
      </c>
      <c r="E133" s="197">
        <v>32.92</v>
      </c>
      <c r="F133" s="164">
        <f t="shared" si="8"/>
        <v>32.521999999999998</v>
      </c>
      <c r="G133" s="165" t="s">
        <v>8</v>
      </c>
      <c r="H133" s="164">
        <f t="shared" si="7"/>
        <v>3725.3259999999987</v>
      </c>
      <c r="I133" s="165">
        <f t="shared" si="6"/>
        <v>8093.514000000001</v>
      </c>
      <c r="J133" s="177">
        <f t="shared" si="5"/>
        <v>207.87571754621848</v>
      </c>
      <c r="K133" s="518"/>
      <c r="L133" s="519"/>
      <c r="M133" s="14"/>
    </row>
    <row r="134" spans="1:13" s="10" customFormat="1">
      <c r="A134" s="298">
        <v>112</v>
      </c>
      <c r="B134" s="492" t="s">
        <v>152</v>
      </c>
      <c r="C134" s="493"/>
      <c r="D134" s="300">
        <f t="shared" si="9"/>
        <v>259</v>
      </c>
      <c r="E134" s="197">
        <v>33.04</v>
      </c>
      <c r="F134" s="164">
        <f t="shared" si="8"/>
        <v>32.641999999999996</v>
      </c>
      <c r="G134" s="165" t="s">
        <v>8</v>
      </c>
      <c r="H134" s="164">
        <f t="shared" si="7"/>
        <v>3757.9679999999985</v>
      </c>
      <c r="I134" s="165">
        <f t="shared" si="6"/>
        <v>8060.8720000000012</v>
      </c>
      <c r="J134" s="177">
        <f t="shared" si="5"/>
        <v>208.58436564094725</v>
      </c>
      <c r="K134" s="518"/>
      <c r="L134" s="519"/>
    </row>
    <row r="135" spans="1:13" s="10" customFormat="1" ht="13.5" thickBot="1">
      <c r="A135" s="346">
        <v>113</v>
      </c>
      <c r="B135" s="532" t="s">
        <v>152</v>
      </c>
      <c r="C135" s="533"/>
      <c r="D135" s="302">
        <f t="shared" si="9"/>
        <v>258</v>
      </c>
      <c r="E135" s="226">
        <v>33.03</v>
      </c>
      <c r="F135" s="232">
        <f t="shared" si="8"/>
        <v>32.631999999999998</v>
      </c>
      <c r="G135" s="233" t="s">
        <v>8</v>
      </c>
      <c r="H135" s="232">
        <f t="shared" si="7"/>
        <v>3790.5999999999985</v>
      </c>
      <c r="I135" s="233">
        <f t="shared" si="6"/>
        <v>8028.2400000000016</v>
      </c>
      <c r="J135" s="277">
        <f t="shared" si="5"/>
        <v>209.29279663865543</v>
      </c>
      <c r="K135" s="534"/>
      <c r="L135" s="535"/>
    </row>
    <row r="136" spans="1:13" s="10" customFormat="1">
      <c r="A136" s="349">
        <v>114</v>
      </c>
      <c r="B136" s="522" t="s">
        <v>152</v>
      </c>
      <c r="C136" s="523"/>
      <c r="D136" s="350">
        <f t="shared" si="9"/>
        <v>257</v>
      </c>
      <c r="E136" s="351">
        <v>33.020000000000003</v>
      </c>
      <c r="F136" s="352">
        <f t="shared" si="8"/>
        <v>32.622</v>
      </c>
      <c r="G136" s="352" t="s">
        <v>10</v>
      </c>
      <c r="H136" s="352">
        <f t="shared" si="7"/>
        <v>3790.5999999999985</v>
      </c>
      <c r="I136" s="352">
        <f t="shared" si="6"/>
        <v>8028.2400000000016</v>
      </c>
      <c r="J136" s="353">
        <f t="shared" si="5"/>
        <v>209.29279663865543</v>
      </c>
      <c r="K136" s="524" t="s">
        <v>172</v>
      </c>
      <c r="L136" s="525"/>
    </row>
    <row r="137" spans="1:13" s="10" customFormat="1" ht="13.5" thickBot="1">
      <c r="A137" s="354">
        <v>115</v>
      </c>
      <c r="B137" s="526" t="s">
        <v>152</v>
      </c>
      <c r="C137" s="527"/>
      <c r="D137" s="355">
        <f t="shared" si="9"/>
        <v>256</v>
      </c>
      <c r="E137" s="356">
        <v>33.47</v>
      </c>
      <c r="F137" s="357">
        <f t="shared" si="8"/>
        <v>33.071999999999996</v>
      </c>
      <c r="G137" s="357" t="s">
        <v>10</v>
      </c>
      <c r="H137" s="357">
        <f t="shared" si="7"/>
        <v>3790.5999999999985</v>
      </c>
      <c r="I137" s="357">
        <f t="shared" si="6"/>
        <v>8028.2400000000016</v>
      </c>
      <c r="J137" s="358">
        <f t="shared" si="5"/>
        <v>209.29279663865543</v>
      </c>
      <c r="K137" s="528" t="s">
        <v>172</v>
      </c>
      <c r="L137" s="529"/>
    </row>
    <row r="138" spans="1:13" s="10" customFormat="1">
      <c r="A138" s="298">
        <v>116</v>
      </c>
      <c r="B138" s="530" t="s">
        <v>152</v>
      </c>
      <c r="C138" s="531"/>
      <c r="D138" s="301">
        <f t="shared" si="9"/>
        <v>255</v>
      </c>
      <c r="E138" s="347">
        <v>33.47</v>
      </c>
      <c r="F138" s="176">
        <f t="shared" si="8"/>
        <v>33.071999999999996</v>
      </c>
      <c r="G138" s="348" t="s">
        <v>8</v>
      </c>
      <c r="H138" s="176">
        <f t="shared" si="7"/>
        <v>3823.6719999999987</v>
      </c>
      <c r="I138" s="348">
        <f t="shared" si="6"/>
        <v>7995.1680000000015</v>
      </c>
      <c r="J138" s="177">
        <f t="shared" si="5"/>
        <v>210.01077990527119</v>
      </c>
      <c r="K138" s="516"/>
      <c r="L138" s="517"/>
      <c r="M138" s="14"/>
    </row>
    <row r="139" spans="1:13" s="10" customFormat="1">
      <c r="A139" s="298">
        <v>117</v>
      </c>
      <c r="B139" s="492" t="s">
        <v>152</v>
      </c>
      <c r="C139" s="493"/>
      <c r="D139" s="300">
        <f t="shared" si="9"/>
        <v>254</v>
      </c>
      <c r="E139" s="197">
        <v>33.51</v>
      </c>
      <c r="F139" s="164">
        <f t="shared" si="8"/>
        <v>33.111999999999995</v>
      </c>
      <c r="G139" s="165" t="s">
        <v>8</v>
      </c>
      <c r="H139" s="164">
        <f t="shared" si="7"/>
        <v>3856.7839999999987</v>
      </c>
      <c r="I139" s="165">
        <f t="shared" si="6"/>
        <v>7962.0560000000014</v>
      </c>
      <c r="J139" s="177">
        <f t="shared" si="5"/>
        <v>210.72963155996942</v>
      </c>
      <c r="K139" s="518"/>
      <c r="L139" s="519"/>
    </row>
    <row r="140" spans="1:13" s="10" customFormat="1">
      <c r="A140" s="298">
        <v>118</v>
      </c>
      <c r="B140" s="492" t="s">
        <v>152</v>
      </c>
      <c r="C140" s="493"/>
      <c r="D140" s="300">
        <f t="shared" si="9"/>
        <v>253</v>
      </c>
      <c r="E140" s="197">
        <v>33.659999999999997</v>
      </c>
      <c r="F140" s="164">
        <f t="shared" si="8"/>
        <v>33.261999999999993</v>
      </c>
      <c r="G140" s="165" t="s">
        <v>8</v>
      </c>
      <c r="H140" s="164">
        <f t="shared" si="7"/>
        <v>3890.0459999999989</v>
      </c>
      <c r="I140" s="165">
        <f t="shared" si="6"/>
        <v>7928.7940000000017</v>
      </c>
      <c r="J140" s="177">
        <f t="shared" si="5"/>
        <v>211.45173966997706</v>
      </c>
      <c r="K140" s="518"/>
      <c r="L140" s="519"/>
    </row>
    <row r="141" spans="1:13" s="10" customFormat="1">
      <c r="A141" s="298">
        <v>119</v>
      </c>
      <c r="B141" s="492" t="s">
        <v>152</v>
      </c>
      <c r="C141" s="493"/>
      <c r="D141" s="300">
        <f t="shared" si="9"/>
        <v>252</v>
      </c>
      <c r="E141" s="197">
        <v>33.54</v>
      </c>
      <c r="F141" s="164">
        <f t="shared" si="8"/>
        <v>33.141999999999996</v>
      </c>
      <c r="G141" s="165" t="s">
        <v>8</v>
      </c>
      <c r="H141" s="164">
        <f t="shared" si="7"/>
        <v>3923.1879999999987</v>
      </c>
      <c r="I141" s="165">
        <f t="shared" si="6"/>
        <v>7895.6520000000019</v>
      </c>
      <c r="J141" s="177">
        <f t="shared" si="5"/>
        <v>212.17124261573719</v>
      </c>
      <c r="K141" s="518"/>
      <c r="L141" s="519"/>
    </row>
    <row r="142" spans="1:13" s="10" customFormat="1">
      <c r="A142" s="298">
        <v>120</v>
      </c>
      <c r="B142" s="492" t="s">
        <v>152</v>
      </c>
      <c r="C142" s="493"/>
      <c r="D142" s="300">
        <f t="shared" si="9"/>
        <v>251</v>
      </c>
      <c r="E142" s="197">
        <v>33.520000000000003</v>
      </c>
      <c r="F142" s="164">
        <f t="shared" si="8"/>
        <v>33.122</v>
      </c>
      <c r="G142" s="165" t="s">
        <v>8</v>
      </c>
      <c r="H142" s="164">
        <f t="shared" si="7"/>
        <v>3956.3099999999986</v>
      </c>
      <c r="I142" s="165">
        <f t="shared" si="6"/>
        <v>7862.5300000000016</v>
      </c>
      <c r="J142" s="177">
        <f t="shared" ref="J142:J205" si="10">$G$7+(H142*$C$8*$G$10/1000)</f>
        <v>212.89031136745606</v>
      </c>
      <c r="K142" s="518"/>
      <c r="L142" s="519"/>
    </row>
    <row r="143" spans="1:13" s="10" customFormat="1">
      <c r="A143" s="298">
        <v>121</v>
      </c>
      <c r="B143" s="492" t="s">
        <v>152</v>
      </c>
      <c r="C143" s="493"/>
      <c r="D143" s="300">
        <f t="shared" si="9"/>
        <v>250</v>
      </c>
      <c r="E143" s="197">
        <v>33.64</v>
      </c>
      <c r="F143" s="164">
        <f t="shared" si="8"/>
        <v>33.241999999999997</v>
      </c>
      <c r="G143" s="165" t="s">
        <v>8</v>
      </c>
      <c r="H143" s="164">
        <f t="shared" si="7"/>
        <v>3989.5519999999988</v>
      </c>
      <c r="I143" s="165">
        <f t="shared" ref="I143:I206" si="11">IF(H143="","",$K$6-H143)</f>
        <v>7829.2880000000014</v>
      </c>
      <c r="J143" s="177">
        <f t="shared" si="10"/>
        <v>213.61198528342243</v>
      </c>
      <c r="K143" s="518"/>
      <c r="L143" s="519"/>
    </row>
    <row r="144" spans="1:13" s="10" customFormat="1">
      <c r="A144" s="298">
        <v>122</v>
      </c>
      <c r="B144" s="492" t="s">
        <v>152</v>
      </c>
      <c r="C144" s="493"/>
      <c r="D144" s="300">
        <f t="shared" si="9"/>
        <v>249</v>
      </c>
      <c r="E144" s="197">
        <v>33.520000000000003</v>
      </c>
      <c r="F144" s="164">
        <f t="shared" si="8"/>
        <v>33.122</v>
      </c>
      <c r="G144" s="165" t="s">
        <v>8</v>
      </c>
      <c r="H144" s="164">
        <f t="shared" si="7"/>
        <v>4022.6739999999986</v>
      </c>
      <c r="I144" s="165">
        <f t="shared" si="11"/>
        <v>7796.1660000000011</v>
      </c>
      <c r="J144" s="177">
        <f t="shared" si="10"/>
        <v>214.33105403514131</v>
      </c>
      <c r="K144" s="518"/>
      <c r="L144" s="519"/>
    </row>
    <row r="145" spans="1:12">
      <c r="A145" s="298">
        <v>123</v>
      </c>
      <c r="B145" s="492" t="s">
        <v>152</v>
      </c>
      <c r="C145" s="493"/>
      <c r="D145" s="300">
        <f t="shared" si="9"/>
        <v>248</v>
      </c>
      <c r="E145" s="197">
        <v>33.19</v>
      </c>
      <c r="F145" s="164">
        <f t="shared" si="8"/>
        <v>32.791999999999994</v>
      </c>
      <c r="G145" s="165" t="s">
        <v>8</v>
      </c>
      <c r="H145" s="164">
        <f t="shared" si="7"/>
        <v>4055.4659999999985</v>
      </c>
      <c r="I145" s="165">
        <f t="shared" si="11"/>
        <v>7763.3740000000016</v>
      </c>
      <c r="J145" s="177">
        <f t="shared" si="10"/>
        <v>215.04295858517952</v>
      </c>
      <c r="K145" s="518"/>
      <c r="L145" s="519"/>
    </row>
    <row r="146" spans="1:12">
      <c r="A146" s="298">
        <v>124</v>
      </c>
      <c r="B146" s="492" t="s">
        <v>152</v>
      </c>
      <c r="C146" s="493"/>
      <c r="D146" s="300">
        <f t="shared" si="9"/>
        <v>247</v>
      </c>
      <c r="E146" s="197">
        <v>33.07</v>
      </c>
      <c r="F146" s="164">
        <f t="shared" si="8"/>
        <v>32.671999999999997</v>
      </c>
      <c r="G146" s="165" t="s">
        <v>8</v>
      </c>
      <c r="H146" s="164">
        <f t="shared" ref="H146:H209" si="12">IF(G146="IN",H145+F146,H145)</f>
        <v>4088.1379999999986</v>
      </c>
      <c r="I146" s="165">
        <f t="shared" si="11"/>
        <v>7730.7020000000011</v>
      </c>
      <c r="J146" s="177">
        <f t="shared" si="10"/>
        <v>215.75225797097016</v>
      </c>
      <c r="K146" s="518"/>
      <c r="L146" s="519"/>
    </row>
    <row r="147" spans="1:12">
      <c r="A147" s="298">
        <v>125</v>
      </c>
      <c r="B147" s="492" t="s">
        <v>152</v>
      </c>
      <c r="C147" s="493"/>
      <c r="D147" s="300">
        <f t="shared" si="9"/>
        <v>246</v>
      </c>
      <c r="E147" s="197">
        <v>33.69</v>
      </c>
      <c r="F147" s="164">
        <f t="shared" si="8"/>
        <v>33.291999999999994</v>
      </c>
      <c r="G147" s="165" t="s">
        <v>8</v>
      </c>
      <c r="H147" s="164">
        <f t="shared" si="12"/>
        <v>4121.4299999999985</v>
      </c>
      <c r="I147" s="165">
        <f t="shared" si="11"/>
        <v>7697.4100000000017</v>
      </c>
      <c r="J147" s="177">
        <f t="shared" si="10"/>
        <v>216.4750173720397</v>
      </c>
      <c r="K147" s="518"/>
      <c r="L147" s="519"/>
    </row>
    <row r="148" spans="1:12">
      <c r="A148" s="298">
        <v>126</v>
      </c>
      <c r="B148" s="492" t="s">
        <v>152</v>
      </c>
      <c r="C148" s="493"/>
      <c r="D148" s="300">
        <f t="shared" si="9"/>
        <v>245</v>
      </c>
      <c r="E148" s="197">
        <v>33.79</v>
      </c>
      <c r="F148" s="164">
        <f t="shared" si="8"/>
        <v>33.391999999999996</v>
      </c>
      <c r="G148" s="165" t="s">
        <v>8</v>
      </c>
      <c r="H148" s="164">
        <f t="shared" si="12"/>
        <v>4154.8219999999983</v>
      </c>
      <c r="I148" s="165">
        <f t="shared" si="11"/>
        <v>7664.0180000000018</v>
      </c>
      <c r="J148" s="177">
        <f t="shared" si="10"/>
        <v>217.19994774331548</v>
      </c>
      <c r="K148" s="518"/>
      <c r="L148" s="519"/>
    </row>
    <row r="149" spans="1:12">
      <c r="A149" s="298">
        <v>127</v>
      </c>
      <c r="B149" s="492" t="s">
        <v>152</v>
      </c>
      <c r="C149" s="493"/>
      <c r="D149" s="300">
        <f t="shared" si="9"/>
        <v>244</v>
      </c>
      <c r="E149" s="197">
        <v>33.700000000000003</v>
      </c>
      <c r="F149" s="164">
        <f t="shared" si="8"/>
        <v>33.302</v>
      </c>
      <c r="G149" s="165" t="s">
        <v>8</v>
      </c>
      <c r="H149" s="164">
        <f t="shared" si="12"/>
        <v>4188.123999999998</v>
      </c>
      <c r="I149" s="165">
        <f t="shared" si="11"/>
        <v>7630.7160000000022</v>
      </c>
      <c r="J149" s="177">
        <f t="shared" si="10"/>
        <v>217.92292424140561</v>
      </c>
      <c r="K149" s="518"/>
      <c r="L149" s="519"/>
    </row>
    <row r="150" spans="1:12">
      <c r="A150" s="298">
        <v>128</v>
      </c>
      <c r="B150" s="492" t="s">
        <v>152</v>
      </c>
      <c r="C150" s="493"/>
      <c r="D150" s="300">
        <f t="shared" si="9"/>
        <v>243</v>
      </c>
      <c r="E150" s="197">
        <v>33.58</v>
      </c>
      <c r="F150" s="164">
        <f t="shared" si="8"/>
        <v>33.181999999999995</v>
      </c>
      <c r="G150" s="165" t="s">
        <v>8</v>
      </c>
      <c r="H150" s="164">
        <f t="shared" si="12"/>
        <v>4221.3059999999978</v>
      </c>
      <c r="I150" s="165">
        <f t="shared" si="11"/>
        <v>7597.5340000000024</v>
      </c>
      <c r="J150" s="177">
        <f t="shared" si="10"/>
        <v>218.64329557524826</v>
      </c>
      <c r="K150" s="518"/>
      <c r="L150" s="519"/>
    </row>
    <row r="151" spans="1:12">
      <c r="A151" s="298">
        <v>129</v>
      </c>
      <c r="B151" s="492" t="s">
        <v>152</v>
      </c>
      <c r="C151" s="493"/>
      <c r="D151" s="300">
        <f t="shared" si="9"/>
        <v>242</v>
      </c>
      <c r="E151" s="197">
        <v>33.25</v>
      </c>
      <c r="F151" s="164">
        <f t="shared" ref="F151:F214" si="13">E151-($C$10)</f>
        <v>32.851999999999997</v>
      </c>
      <c r="G151" s="165" t="s">
        <v>8</v>
      </c>
      <c r="H151" s="164">
        <f t="shared" si="12"/>
        <v>4254.1579999999976</v>
      </c>
      <c r="I151" s="165">
        <f t="shared" si="11"/>
        <v>7564.6820000000025</v>
      </c>
      <c r="J151" s="177">
        <f t="shared" si="10"/>
        <v>219.35650270741019</v>
      </c>
      <c r="K151" s="518"/>
      <c r="L151" s="519"/>
    </row>
    <row r="152" spans="1:12">
      <c r="A152" s="298">
        <v>130</v>
      </c>
      <c r="B152" s="492" t="s">
        <v>152</v>
      </c>
      <c r="C152" s="493"/>
      <c r="D152" s="300">
        <f t="shared" si="9"/>
        <v>241</v>
      </c>
      <c r="E152" s="197">
        <v>33.49</v>
      </c>
      <c r="F152" s="164">
        <f t="shared" si="13"/>
        <v>33.091999999999999</v>
      </c>
      <c r="G152" s="165" t="s">
        <v>8</v>
      </c>
      <c r="H152" s="164">
        <f t="shared" si="12"/>
        <v>4287.2499999999973</v>
      </c>
      <c r="I152" s="165">
        <f t="shared" si="11"/>
        <v>7531.5900000000029</v>
      </c>
      <c r="J152" s="177">
        <f t="shared" si="10"/>
        <v>220.07492016806719</v>
      </c>
      <c r="K152" s="518"/>
      <c r="L152" s="519"/>
    </row>
    <row r="153" spans="1:12">
      <c r="A153" s="298">
        <v>131</v>
      </c>
      <c r="B153" s="492" t="s">
        <v>152</v>
      </c>
      <c r="C153" s="493"/>
      <c r="D153" s="300">
        <f t="shared" ref="D153:D216" si="14">D152-1</f>
        <v>240</v>
      </c>
      <c r="E153" s="197">
        <v>33.549999999999997</v>
      </c>
      <c r="F153" s="164">
        <f t="shared" si="13"/>
        <v>33.151999999999994</v>
      </c>
      <c r="G153" s="165" t="s">
        <v>8</v>
      </c>
      <c r="H153" s="164">
        <f t="shared" si="12"/>
        <v>4320.4019999999973</v>
      </c>
      <c r="I153" s="165">
        <f t="shared" si="11"/>
        <v>7498.4380000000028</v>
      </c>
      <c r="J153" s="177">
        <f t="shared" si="10"/>
        <v>220.79464021084792</v>
      </c>
      <c r="K153" s="518"/>
      <c r="L153" s="519"/>
    </row>
    <row r="154" spans="1:12">
      <c r="A154" s="298">
        <v>132</v>
      </c>
      <c r="B154" s="492" t="s">
        <v>152</v>
      </c>
      <c r="C154" s="493"/>
      <c r="D154" s="300">
        <f t="shared" si="14"/>
        <v>239</v>
      </c>
      <c r="E154" s="197">
        <v>33.57</v>
      </c>
      <c r="F154" s="164">
        <f t="shared" si="13"/>
        <v>33.171999999999997</v>
      </c>
      <c r="G154" s="165" t="s">
        <v>8</v>
      </c>
      <c r="H154" s="164">
        <f t="shared" si="12"/>
        <v>4353.5739999999969</v>
      </c>
      <c r="I154" s="165">
        <f t="shared" si="11"/>
        <v>7465.2660000000033</v>
      </c>
      <c r="J154" s="177">
        <f t="shared" si="10"/>
        <v>221.51479444766991</v>
      </c>
      <c r="K154" s="518"/>
      <c r="L154" s="519"/>
    </row>
    <row r="155" spans="1:12">
      <c r="A155" s="298">
        <v>133</v>
      </c>
      <c r="B155" s="492" t="s">
        <v>152</v>
      </c>
      <c r="C155" s="493"/>
      <c r="D155" s="300">
        <f t="shared" si="14"/>
        <v>238</v>
      </c>
      <c r="E155" s="197">
        <v>33.97</v>
      </c>
      <c r="F155" s="164">
        <f t="shared" si="13"/>
        <v>33.571999999999996</v>
      </c>
      <c r="G155" s="165" t="s">
        <v>8</v>
      </c>
      <c r="H155" s="164">
        <f t="shared" si="12"/>
        <v>4387.145999999997</v>
      </c>
      <c r="I155" s="165">
        <f t="shared" si="11"/>
        <v>7431.6940000000031</v>
      </c>
      <c r="J155" s="177">
        <f t="shared" si="10"/>
        <v>222.24363256531697</v>
      </c>
      <c r="K155" s="518"/>
      <c r="L155" s="519"/>
    </row>
    <row r="156" spans="1:12">
      <c r="A156" s="298">
        <v>134</v>
      </c>
      <c r="B156" s="492" t="s">
        <v>152</v>
      </c>
      <c r="C156" s="493"/>
      <c r="D156" s="300">
        <f t="shared" si="14"/>
        <v>237</v>
      </c>
      <c r="E156" s="197">
        <v>33.94</v>
      </c>
      <c r="F156" s="164">
        <f t="shared" si="13"/>
        <v>33.541999999999994</v>
      </c>
      <c r="G156" s="165" t="s">
        <v>8</v>
      </c>
      <c r="H156" s="164">
        <f t="shared" si="12"/>
        <v>4420.6879999999974</v>
      </c>
      <c r="I156" s="165">
        <f t="shared" si="11"/>
        <v>7398.1520000000028</v>
      </c>
      <c r="J156" s="177">
        <f t="shared" si="10"/>
        <v>222.97181939190216</v>
      </c>
      <c r="K156" s="518"/>
      <c r="L156" s="519"/>
    </row>
    <row r="157" spans="1:12">
      <c r="A157" s="298">
        <v>135</v>
      </c>
      <c r="B157" s="492" t="s">
        <v>152</v>
      </c>
      <c r="C157" s="493"/>
      <c r="D157" s="300">
        <f t="shared" si="14"/>
        <v>236</v>
      </c>
      <c r="E157" s="197">
        <v>33.57</v>
      </c>
      <c r="F157" s="164">
        <f t="shared" si="13"/>
        <v>33.171999999999997</v>
      </c>
      <c r="G157" s="165" t="s">
        <v>8</v>
      </c>
      <c r="H157" s="164">
        <f t="shared" si="12"/>
        <v>4453.8599999999969</v>
      </c>
      <c r="I157" s="165">
        <f t="shared" si="11"/>
        <v>7364.9800000000032</v>
      </c>
      <c r="J157" s="177">
        <f t="shared" si="10"/>
        <v>223.69197362872416</v>
      </c>
      <c r="K157" s="518"/>
      <c r="L157" s="519"/>
    </row>
    <row r="158" spans="1:12">
      <c r="A158" s="298">
        <v>136</v>
      </c>
      <c r="B158" s="492" t="s">
        <v>152</v>
      </c>
      <c r="C158" s="493"/>
      <c r="D158" s="300">
        <f t="shared" si="14"/>
        <v>235</v>
      </c>
      <c r="E158" s="197">
        <v>33.200000000000003</v>
      </c>
      <c r="F158" s="164">
        <f t="shared" si="13"/>
        <v>32.802</v>
      </c>
      <c r="G158" s="165" t="s">
        <v>8</v>
      </c>
      <c r="H158" s="164">
        <f t="shared" si="12"/>
        <v>4486.6619999999966</v>
      </c>
      <c r="I158" s="165">
        <f t="shared" si="11"/>
        <v>7332.1780000000035</v>
      </c>
      <c r="J158" s="177">
        <f t="shared" si="10"/>
        <v>224.40409527578299</v>
      </c>
      <c r="K158" s="518"/>
      <c r="L158" s="519"/>
    </row>
    <row r="159" spans="1:12">
      <c r="A159" s="298">
        <v>137</v>
      </c>
      <c r="B159" s="492" t="s">
        <v>152</v>
      </c>
      <c r="C159" s="493"/>
      <c r="D159" s="300">
        <f t="shared" si="14"/>
        <v>234</v>
      </c>
      <c r="E159" s="197">
        <v>33.51</v>
      </c>
      <c r="F159" s="164">
        <f t="shared" si="13"/>
        <v>33.111999999999995</v>
      </c>
      <c r="G159" s="165" t="s">
        <v>8</v>
      </c>
      <c r="H159" s="164">
        <f t="shared" si="12"/>
        <v>4519.7739999999967</v>
      </c>
      <c r="I159" s="165">
        <f t="shared" si="11"/>
        <v>7299.0660000000034</v>
      </c>
      <c r="J159" s="177">
        <f t="shared" si="10"/>
        <v>225.12294693048122</v>
      </c>
      <c r="K159" s="518"/>
      <c r="L159" s="519"/>
    </row>
    <row r="160" spans="1:12">
      <c r="A160" s="298">
        <v>138</v>
      </c>
      <c r="B160" s="492" t="s">
        <v>152</v>
      </c>
      <c r="C160" s="493"/>
      <c r="D160" s="300">
        <f t="shared" si="14"/>
        <v>233</v>
      </c>
      <c r="E160" s="197">
        <v>33.409999999999997</v>
      </c>
      <c r="F160" s="164">
        <f t="shared" si="13"/>
        <v>33.011999999999993</v>
      </c>
      <c r="G160" s="165" t="s">
        <v>8</v>
      </c>
      <c r="H160" s="164">
        <f t="shared" si="12"/>
        <v>4552.7859999999964</v>
      </c>
      <c r="I160" s="165">
        <f t="shared" si="11"/>
        <v>7266.0540000000037</v>
      </c>
      <c r="J160" s="177">
        <f t="shared" si="10"/>
        <v>225.83962761497318</v>
      </c>
      <c r="K160" s="518"/>
      <c r="L160" s="519"/>
    </row>
    <row r="161" spans="1:12">
      <c r="A161" s="298">
        <v>139</v>
      </c>
      <c r="B161" s="492" t="s">
        <v>152</v>
      </c>
      <c r="C161" s="493"/>
      <c r="D161" s="300">
        <f t="shared" si="14"/>
        <v>232</v>
      </c>
      <c r="E161" s="197">
        <v>33.229999999999997</v>
      </c>
      <c r="F161" s="164">
        <f t="shared" si="13"/>
        <v>32.831999999999994</v>
      </c>
      <c r="G161" s="165" t="s">
        <v>8</v>
      </c>
      <c r="H161" s="164">
        <f t="shared" si="12"/>
        <v>4585.6179999999968</v>
      </c>
      <c r="I161" s="165">
        <f t="shared" si="11"/>
        <v>7233.2220000000034</v>
      </c>
      <c r="J161" s="177">
        <f t="shared" si="10"/>
        <v>226.55240055309389</v>
      </c>
      <c r="K161" s="518"/>
      <c r="L161" s="519"/>
    </row>
    <row r="162" spans="1:12">
      <c r="A162" s="298">
        <v>140</v>
      </c>
      <c r="B162" s="492" t="s">
        <v>152</v>
      </c>
      <c r="C162" s="493"/>
      <c r="D162" s="300">
        <f t="shared" si="14"/>
        <v>231</v>
      </c>
      <c r="E162" s="197">
        <v>32.28</v>
      </c>
      <c r="F162" s="164">
        <f t="shared" si="13"/>
        <v>31.882000000000001</v>
      </c>
      <c r="G162" s="165" t="s">
        <v>8</v>
      </c>
      <c r="H162" s="164">
        <f t="shared" si="12"/>
        <v>4617.4999999999964</v>
      </c>
      <c r="I162" s="165">
        <f t="shared" si="11"/>
        <v>7201.3400000000038</v>
      </c>
      <c r="J162" s="177">
        <f t="shared" si="10"/>
        <v>227.24454927425509</v>
      </c>
      <c r="K162" s="518"/>
      <c r="L162" s="519"/>
    </row>
    <row r="163" spans="1:12">
      <c r="A163" s="298">
        <v>141</v>
      </c>
      <c r="B163" s="492" t="s">
        <v>152</v>
      </c>
      <c r="C163" s="493"/>
      <c r="D163" s="300">
        <f t="shared" si="14"/>
        <v>230</v>
      </c>
      <c r="E163" s="197">
        <v>33.090000000000003</v>
      </c>
      <c r="F163" s="164">
        <f t="shared" si="13"/>
        <v>32.692</v>
      </c>
      <c r="G163" s="165" t="s">
        <v>8</v>
      </c>
      <c r="H163" s="164">
        <f t="shared" si="12"/>
        <v>4650.1919999999964</v>
      </c>
      <c r="I163" s="165">
        <f t="shared" si="11"/>
        <v>7168.6480000000038</v>
      </c>
      <c r="J163" s="177">
        <f t="shared" si="10"/>
        <v>227.95428285408701</v>
      </c>
      <c r="K163" s="518"/>
      <c r="L163" s="519"/>
    </row>
    <row r="164" spans="1:12">
      <c r="A164" s="298">
        <v>142</v>
      </c>
      <c r="B164" s="492" t="s">
        <v>152</v>
      </c>
      <c r="C164" s="493"/>
      <c r="D164" s="300">
        <f t="shared" si="14"/>
        <v>229</v>
      </c>
      <c r="E164" s="197">
        <v>33.47</v>
      </c>
      <c r="F164" s="164">
        <f t="shared" si="13"/>
        <v>33.071999999999996</v>
      </c>
      <c r="G164" s="165" t="s">
        <v>8</v>
      </c>
      <c r="H164" s="164">
        <f t="shared" si="12"/>
        <v>4683.2639999999965</v>
      </c>
      <c r="I164" s="165">
        <f t="shared" si="11"/>
        <v>7135.5760000000037</v>
      </c>
      <c r="J164" s="177">
        <f t="shared" si="10"/>
        <v>228.67226612070277</v>
      </c>
      <c r="K164" s="518"/>
      <c r="L164" s="519"/>
    </row>
    <row r="165" spans="1:12">
      <c r="A165" s="298">
        <v>143</v>
      </c>
      <c r="B165" s="492" t="s">
        <v>152</v>
      </c>
      <c r="C165" s="493"/>
      <c r="D165" s="300">
        <f t="shared" si="14"/>
        <v>228</v>
      </c>
      <c r="E165" s="197">
        <v>33.24</v>
      </c>
      <c r="F165" s="164">
        <f t="shared" si="13"/>
        <v>32.841999999999999</v>
      </c>
      <c r="G165" s="165" t="s">
        <v>8</v>
      </c>
      <c r="H165" s="164">
        <f t="shared" si="12"/>
        <v>4716.1059999999961</v>
      </c>
      <c r="I165" s="165">
        <f t="shared" si="11"/>
        <v>7102.734000000004</v>
      </c>
      <c r="J165" s="177">
        <f t="shared" si="10"/>
        <v>229.3852561558441</v>
      </c>
      <c r="K165" s="518"/>
      <c r="L165" s="519"/>
    </row>
    <row r="166" spans="1:12">
      <c r="A166" s="298">
        <v>144</v>
      </c>
      <c r="B166" s="492" t="s">
        <v>152</v>
      </c>
      <c r="C166" s="493"/>
      <c r="D166" s="300">
        <f t="shared" si="14"/>
        <v>227</v>
      </c>
      <c r="E166" s="197">
        <v>33.83</v>
      </c>
      <c r="F166" s="164">
        <f t="shared" si="13"/>
        <v>33.431999999999995</v>
      </c>
      <c r="G166" s="165" t="s">
        <v>8</v>
      </c>
      <c r="H166" s="164">
        <f t="shared" si="12"/>
        <v>4749.5379999999959</v>
      </c>
      <c r="I166" s="165">
        <f t="shared" si="11"/>
        <v>7069.3020000000042</v>
      </c>
      <c r="J166" s="177">
        <f t="shared" si="10"/>
        <v>230.11105491520237</v>
      </c>
      <c r="K166" s="518"/>
      <c r="L166" s="519"/>
    </row>
    <row r="167" spans="1:12">
      <c r="A167" s="298">
        <v>145</v>
      </c>
      <c r="B167" s="492" t="s">
        <v>152</v>
      </c>
      <c r="C167" s="493"/>
      <c r="D167" s="300">
        <f t="shared" si="14"/>
        <v>226</v>
      </c>
      <c r="E167" s="197">
        <v>33.24</v>
      </c>
      <c r="F167" s="164">
        <f t="shared" si="13"/>
        <v>32.841999999999999</v>
      </c>
      <c r="G167" s="165" t="s">
        <v>8</v>
      </c>
      <c r="H167" s="164">
        <f t="shared" si="12"/>
        <v>4782.3799999999956</v>
      </c>
      <c r="I167" s="165">
        <f t="shared" si="11"/>
        <v>7036.4600000000046</v>
      </c>
      <c r="J167" s="177">
        <f t="shared" si="10"/>
        <v>230.8240449503437</v>
      </c>
      <c r="K167" s="518"/>
      <c r="L167" s="519"/>
    </row>
    <row r="168" spans="1:12">
      <c r="A168" s="298">
        <v>146</v>
      </c>
      <c r="B168" s="492" t="s">
        <v>152</v>
      </c>
      <c r="C168" s="493"/>
      <c r="D168" s="300">
        <f t="shared" si="14"/>
        <v>225</v>
      </c>
      <c r="E168" s="197">
        <v>33.89</v>
      </c>
      <c r="F168" s="164">
        <f t="shared" si="13"/>
        <v>33.491999999999997</v>
      </c>
      <c r="G168" s="165" t="s">
        <v>8</v>
      </c>
      <c r="H168" s="164">
        <f t="shared" si="12"/>
        <v>4815.8719999999958</v>
      </c>
      <c r="I168" s="165">
        <f t="shared" si="11"/>
        <v>7002.9680000000044</v>
      </c>
      <c r="J168" s="177">
        <f t="shared" si="10"/>
        <v>231.55114629182575</v>
      </c>
      <c r="K168" s="518"/>
      <c r="L168" s="519"/>
    </row>
    <row r="169" spans="1:12">
      <c r="A169" s="298">
        <v>147</v>
      </c>
      <c r="B169" s="492" t="s">
        <v>152</v>
      </c>
      <c r="C169" s="493"/>
      <c r="D169" s="300">
        <f t="shared" si="14"/>
        <v>224</v>
      </c>
      <c r="E169" s="197">
        <v>33.82</v>
      </c>
      <c r="F169" s="164">
        <f t="shared" si="13"/>
        <v>33.421999999999997</v>
      </c>
      <c r="G169" s="165" t="s">
        <v>8</v>
      </c>
      <c r="H169" s="164">
        <f t="shared" si="12"/>
        <v>4849.2939999999953</v>
      </c>
      <c r="I169" s="165">
        <f t="shared" si="11"/>
        <v>6969.5460000000048</v>
      </c>
      <c r="J169" s="177">
        <f t="shared" si="10"/>
        <v>232.27672795416339</v>
      </c>
      <c r="K169" s="518"/>
      <c r="L169" s="519"/>
    </row>
    <row r="170" spans="1:12">
      <c r="A170" s="298">
        <v>148</v>
      </c>
      <c r="B170" s="492" t="s">
        <v>152</v>
      </c>
      <c r="C170" s="493"/>
      <c r="D170" s="300">
        <f t="shared" si="14"/>
        <v>223</v>
      </c>
      <c r="E170" s="197">
        <v>33.76</v>
      </c>
      <c r="F170" s="164">
        <f t="shared" si="13"/>
        <v>33.361999999999995</v>
      </c>
      <c r="G170" s="165" t="s">
        <v>8</v>
      </c>
      <c r="H170" s="164">
        <f t="shared" si="12"/>
        <v>4882.6559999999954</v>
      </c>
      <c r="I170" s="165">
        <f t="shared" si="11"/>
        <v>6936.1840000000047</v>
      </c>
      <c r="J170" s="177">
        <f t="shared" si="10"/>
        <v>233.0010070343773</v>
      </c>
      <c r="K170" s="518"/>
      <c r="L170" s="519"/>
    </row>
    <row r="171" spans="1:12">
      <c r="A171" s="298">
        <v>149</v>
      </c>
      <c r="B171" s="492" t="s">
        <v>152</v>
      </c>
      <c r="C171" s="493"/>
      <c r="D171" s="300">
        <f t="shared" si="14"/>
        <v>222</v>
      </c>
      <c r="E171" s="197">
        <v>33.770000000000003</v>
      </c>
      <c r="F171" s="164">
        <f t="shared" si="13"/>
        <v>33.372</v>
      </c>
      <c r="G171" s="165" t="s">
        <v>8</v>
      </c>
      <c r="H171" s="164">
        <f t="shared" si="12"/>
        <v>4916.0279999999957</v>
      </c>
      <c r="I171" s="165">
        <f t="shared" si="11"/>
        <v>6902.8120000000044</v>
      </c>
      <c r="J171" s="177">
        <f t="shared" si="10"/>
        <v>233.72550321161185</v>
      </c>
      <c r="K171" s="518"/>
      <c r="L171" s="519"/>
    </row>
    <row r="172" spans="1:12">
      <c r="A172" s="298">
        <v>150</v>
      </c>
      <c r="B172" s="492" t="s">
        <v>152</v>
      </c>
      <c r="C172" s="493"/>
      <c r="D172" s="300">
        <f t="shared" si="14"/>
        <v>221</v>
      </c>
      <c r="E172" s="197">
        <v>33.39</v>
      </c>
      <c r="F172" s="164">
        <f t="shared" si="13"/>
        <v>32.991999999999997</v>
      </c>
      <c r="G172" s="165" t="s">
        <v>8</v>
      </c>
      <c r="H172" s="164">
        <f t="shared" si="12"/>
        <v>4949.0199999999959</v>
      </c>
      <c r="I172" s="165">
        <f t="shared" si="11"/>
        <v>6869.8200000000043</v>
      </c>
      <c r="J172" s="177">
        <f t="shared" si="10"/>
        <v>234.44174970206257</v>
      </c>
      <c r="K172" s="518"/>
      <c r="L172" s="519"/>
    </row>
    <row r="173" spans="1:12">
      <c r="A173" s="298">
        <v>151</v>
      </c>
      <c r="B173" s="492" t="s">
        <v>152</v>
      </c>
      <c r="C173" s="493"/>
      <c r="D173" s="300">
        <f t="shared" si="14"/>
        <v>220</v>
      </c>
      <c r="E173" s="197">
        <v>33.6</v>
      </c>
      <c r="F173" s="164">
        <f t="shared" si="13"/>
        <v>33.201999999999998</v>
      </c>
      <c r="G173" s="165" t="s">
        <v>8</v>
      </c>
      <c r="H173" s="164">
        <f t="shared" si="12"/>
        <v>4982.2219999999961</v>
      </c>
      <c r="I173" s="165">
        <f t="shared" si="11"/>
        <v>6836.618000000004</v>
      </c>
      <c r="J173" s="177">
        <f t="shared" si="10"/>
        <v>235.16255522994646</v>
      </c>
      <c r="K173" s="518"/>
      <c r="L173" s="519"/>
    </row>
    <row r="174" spans="1:12">
      <c r="A174" s="298">
        <v>152</v>
      </c>
      <c r="B174" s="492" t="s">
        <v>152</v>
      </c>
      <c r="C174" s="493"/>
      <c r="D174" s="300">
        <f t="shared" si="14"/>
        <v>219</v>
      </c>
      <c r="E174" s="197">
        <v>33.700000000000003</v>
      </c>
      <c r="F174" s="164">
        <f t="shared" si="13"/>
        <v>33.302</v>
      </c>
      <c r="G174" s="165" t="s">
        <v>8</v>
      </c>
      <c r="H174" s="164">
        <f t="shared" si="12"/>
        <v>5015.5239999999958</v>
      </c>
      <c r="I174" s="165">
        <f t="shared" si="11"/>
        <v>6803.3160000000044</v>
      </c>
      <c r="J174" s="177">
        <f t="shared" si="10"/>
        <v>235.8855317280366</v>
      </c>
      <c r="K174" s="518"/>
      <c r="L174" s="519"/>
    </row>
    <row r="175" spans="1:12">
      <c r="A175" s="298">
        <v>153</v>
      </c>
      <c r="B175" s="492" t="s">
        <v>152</v>
      </c>
      <c r="C175" s="493"/>
      <c r="D175" s="300">
        <f t="shared" si="14"/>
        <v>218</v>
      </c>
      <c r="E175" s="197">
        <v>33.619999999999997</v>
      </c>
      <c r="F175" s="164">
        <f t="shared" si="13"/>
        <v>33.221999999999994</v>
      </c>
      <c r="G175" s="165" t="s">
        <v>8</v>
      </c>
      <c r="H175" s="164">
        <f t="shared" si="12"/>
        <v>5048.7459999999955</v>
      </c>
      <c r="I175" s="165">
        <f t="shared" si="11"/>
        <v>6770.0940000000046</v>
      </c>
      <c r="J175" s="177">
        <f t="shared" si="10"/>
        <v>236.60677144996174</v>
      </c>
      <c r="K175" s="518"/>
      <c r="L175" s="519"/>
    </row>
    <row r="176" spans="1:12">
      <c r="A176" s="298">
        <v>154</v>
      </c>
      <c r="B176" s="492" t="s">
        <v>152</v>
      </c>
      <c r="C176" s="493"/>
      <c r="D176" s="300">
        <f t="shared" si="14"/>
        <v>217</v>
      </c>
      <c r="E176" s="197">
        <v>33.4</v>
      </c>
      <c r="F176" s="164">
        <f t="shared" si="13"/>
        <v>33.001999999999995</v>
      </c>
      <c r="G176" s="165" t="s">
        <v>8</v>
      </c>
      <c r="H176" s="164">
        <f t="shared" si="12"/>
        <v>5081.747999999996</v>
      </c>
      <c r="I176" s="165">
        <f t="shared" si="11"/>
        <v>6737.0920000000042</v>
      </c>
      <c r="J176" s="177">
        <f t="shared" si="10"/>
        <v>237.32323503743305</v>
      </c>
      <c r="K176" s="518"/>
      <c r="L176" s="519"/>
    </row>
    <row r="177" spans="1:13">
      <c r="A177" s="298">
        <v>155</v>
      </c>
      <c r="B177" s="492" t="s">
        <v>152</v>
      </c>
      <c r="C177" s="493"/>
      <c r="D177" s="300">
        <f t="shared" si="14"/>
        <v>216</v>
      </c>
      <c r="E177" s="197">
        <v>32.06</v>
      </c>
      <c r="F177" s="164">
        <f t="shared" si="13"/>
        <v>31.662000000000003</v>
      </c>
      <c r="G177" s="165" t="s">
        <v>8</v>
      </c>
      <c r="H177" s="164">
        <f t="shared" si="12"/>
        <v>5113.4099999999962</v>
      </c>
      <c r="I177" s="165">
        <f t="shared" si="11"/>
        <v>6705.4300000000039</v>
      </c>
      <c r="J177" s="177">
        <f t="shared" si="10"/>
        <v>238.0106076241405</v>
      </c>
      <c r="K177" s="518"/>
      <c r="L177" s="519"/>
    </row>
    <row r="178" spans="1:13">
      <c r="A178" s="298">
        <v>156</v>
      </c>
      <c r="B178" s="492" t="s">
        <v>152</v>
      </c>
      <c r="C178" s="493"/>
      <c r="D178" s="300">
        <f t="shared" si="14"/>
        <v>215</v>
      </c>
      <c r="E178" s="197">
        <v>33.229999999999997</v>
      </c>
      <c r="F178" s="164">
        <f t="shared" si="13"/>
        <v>32.831999999999994</v>
      </c>
      <c r="G178" s="165" t="s">
        <v>8</v>
      </c>
      <c r="H178" s="164">
        <f t="shared" si="12"/>
        <v>5146.2419999999966</v>
      </c>
      <c r="I178" s="165">
        <f t="shared" si="11"/>
        <v>6672.5980000000036</v>
      </c>
      <c r="J178" s="177">
        <f t="shared" si="10"/>
        <v>238.72338056226118</v>
      </c>
      <c r="K178" s="518"/>
      <c r="L178" s="519"/>
      <c r="M178" s="11"/>
    </row>
    <row r="179" spans="1:13">
      <c r="A179" s="298">
        <v>157</v>
      </c>
      <c r="B179" s="492" t="s">
        <v>152</v>
      </c>
      <c r="C179" s="493"/>
      <c r="D179" s="300">
        <f t="shared" si="14"/>
        <v>214</v>
      </c>
      <c r="E179" s="197">
        <v>33.520000000000003</v>
      </c>
      <c r="F179" s="164">
        <f t="shared" si="13"/>
        <v>33.122</v>
      </c>
      <c r="G179" s="165" t="s">
        <v>8</v>
      </c>
      <c r="H179" s="164">
        <f t="shared" si="12"/>
        <v>5179.3639999999968</v>
      </c>
      <c r="I179" s="165">
        <f t="shared" si="11"/>
        <v>6639.4760000000033</v>
      </c>
      <c r="J179" s="177">
        <f t="shared" si="10"/>
        <v>239.44244931398009</v>
      </c>
      <c r="K179" s="518"/>
      <c r="L179" s="519"/>
    </row>
    <row r="180" spans="1:13">
      <c r="A180" s="298">
        <v>158</v>
      </c>
      <c r="B180" s="492" t="s">
        <v>152</v>
      </c>
      <c r="C180" s="493"/>
      <c r="D180" s="300">
        <f t="shared" si="14"/>
        <v>213</v>
      </c>
      <c r="E180" s="197">
        <v>33.770000000000003</v>
      </c>
      <c r="F180" s="164">
        <f t="shared" si="13"/>
        <v>33.372</v>
      </c>
      <c r="G180" s="165" t="s">
        <v>8</v>
      </c>
      <c r="H180" s="164">
        <f t="shared" si="12"/>
        <v>5212.7359999999971</v>
      </c>
      <c r="I180" s="165">
        <f t="shared" si="11"/>
        <v>6606.104000000003</v>
      </c>
      <c r="J180" s="177">
        <f t="shared" si="10"/>
        <v>240.16694549121462</v>
      </c>
      <c r="K180" s="518"/>
      <c r="L180" s="519"/>
    </row>
    <row r="181" spans="1:13">
      <c r="A181" s="298">
        <v>159</v>
      </c>
      <c r="B181" s="492" t="s">
        <v>152</v>
      </c>
      <c r="C181" s="493"/>
      <c r="D181" s="300">
        <f t="shared" si="14"/>
        <v>212</v>
      </c>
      <c r="E181" s="197">
        <v>33.39</v>
      </c>
      <c r="F181" s="164">
        <f t="shared" si="13"/>
        <v>32.991999999999997</v>
      </c>
      <c r="G181" s="165" t="s">
        <v>8</v>
      </c>
      <c r="H181" s="164">
        <f t="shared" si="12"/>
        <v>5245.7279999999973</v>
      </c>
      <c r="I181" s="165">
        <f t="shared" si="11"/>
        <v>6573.1120000000028</v>
      </c>
      <c r="J181" s="177">
        <f t="shared" si="10"/>
        <v>240.88319198166533</v>
      </c>
      <c r="K181" s="518"/>
      <c r="L181" s="519"/>
    </row>
    <row r="182" spans="1:13">
      <c r="A182" s="298">
        <v>160</v>
      </c>
      <c r="B182" s="492" t="s">
        <v>152</v>
      </c>
      <c r="C182" s="493"/>
      <c r="D182" s="300">
        <f t="shared" si="14"/>
        <v>211</v>
      </c>
      <c r="E182" s="197">
        <v>33.28</v>
      </c>
      <c r="F182" s="164">
        <f t="shared" si="13"/>
        <v>32.881999999999998</v>
      </c>
      <c r="G182" s="165" t="s">
        <v>8</v>
      </c>
      <c r="H182" s="164">
        <f t="shared" si="12"/>
        <v>5278.6099999999969</v>
      </c>
      <c r="I182" s="165">
        <f t="shared" si="11"/>
        <v>6540.2300000000032</v>
      </c>
      <c r="J182" s="177">
        <f t="shared" si="10"/>
        <v>241.59705040488919</v>
      </c>
      <c r="K182" s="518"/>
      <c r="L182" s="519"/>
    </row>
    <row r="183" spans="1:13">
      <c r="A183" s="298">
        <v>161</v>
      </c>
      <c r="B183" s="492" t="s">
        <v>152</v>
      </c>
      <c r="C183" s="493"/>
      <c r="D183" s="300">
        <f t="shared" si="14"/>
        <v>210</v>
      </c>
      <c r="E183" s="197">
        <v>32.82</v>
      </c>
      <c r="F183" s="164">
        <f t="shared" si="13"/>
        <v>32.421999999999997</v>
      </c>
      <c r="G183" s="165" t="s">
        <v>8</v>
      </c>
      <c r="H183" s="164">
        <f t="shared" si="12"/>
        <v>5311.0319999999965</v>
      </c>
      <c r="I183" s="165">
        <f t="shared" si="11"/>
        <v>6507.8080000000036</v>
      </c>
      <c r="J183" s="177">
        <f t="shared" si="10"/>
        <v>242.30092236516418</v>
      </c>
      <c r="K183" s="518"/>
      <c r="L183" s="519"/>
    </row>
    <row r="184" spans="1:13">
      <c r="A184" s="298">
        <v>162</v>
      </c>
      <c r="B184" s="492" t="s">
        <v>152</v>
      </c>
      <c r="C184" s="493"/>
      <c r="D184" s="300">
        <f t="shared" si="14"/>
        <v>209</v>
      </c>
      <c r="E184" s="197">
        <v>33.130000000000003</v>
      </c>
      <c r="F184" s="164">
        <f t="shared" si="13"/>
        <v>32.731999999999999</v>
      </c>
      <c r="G184" s="165" t="s">
        <v>8</v>
      </c>
      <c r="H184" s="164">
        <f t="shared" si="12"/>
        <v>5343.7639999999965</v>
      </c>
      <c r="I184" s="165">
        <f t="shared" si="11"/>
        <v>6475.0760000000037</v>
      </c>
      <c r="J184" s="177">
        <f t="shared" si="10"/>
        <v>243.01152433307863</v>
      </c>
      <c r="K184" s="518"/>
      <c r="L184" s="519"/>
    </row>
    <row r="185" spans="1:13">
      <c r="A185" s="298">
        <v>163</v>
      </c>
      <c r="B185" s="492" t="s">
        <v>152</v>
      </c>
      <c r="C185" s="493"/>
      <c r="D185" s="300">
        <f t="shared" si="14"/>
        <v>208</v>
      </c>
      <c r="E185" s="197">
        <v>33.200000000000003</v>
      </c>
      <c r="F185" s="164">
        <f t="shared" si="13"/>
        <v>32.802</v>
      </c>
      <c r="G185" s="165" t="s">
        <v>8</v>
      </c>
      <c r="H185" s="164">
        <f t="shared" si="12"/>
        <v>5376.5659999999962</v>
      </c>
      <c r="I185" s="165">
        <f t="shared" si="11"/>
        <v>6442.274000000004</v>
      </c>
      <c r="J185" s="177">
        <f t="shared" si="10"/>
        <v>243.72364598013746</v>
      </c>
      <c r="K185" s="518"/>
      <c r="L185" s="519"/>
    </row>
    <row r="186" spans="1:13">
      <c r="A186" s="298">
        <v>164</v>
      </c>
      <c r="B186" s="492" t="s">
        <v>152</v>
      </c>
      <c r="C186" s="493"/>
      <c r="D186" s="300">
        <f t="shared" si="14"/>
        <v>207</v>
      </c>
      <c r="E186" s="197">
        <v>33.01</v>
      </c>
      <c r="F186" s="164">
        <f t="shared" si="13"/>
        <v>32.611999999999995</v>
      </c>
      <c r="G186" s="165" t="s">
        <v>8</v>
      </c>
      <c r="H186" s="164">
        <f t="shared" si="12"/>
        <v>5409.1779999999962</v>
      </c>
      <c r="I186" s="165">
        <f t="shared" si="11"/>
        <v>6409.6620000000039</v>
      </c>
      <c r="J186" s="177">
        <f t="shared" si="10"/>
        <v>244.43164278380436</v>
      </c>
      <c r="K186" s="518"/>
      <c r="L186" s="519"/>
    </row>
    <row r="187" spans="1:13">
      <c r="A187" s="298">
        <v>165</v>
      </c>
      <c r="B187" s="492" t="s">
        <v>152</v>
      </c>
      <c r="C187" s="493"/>
      <c r="D187" s="300">
        <f t="shared" si="14"/>
        <v>206</v>
      </c>
      <c r="E187" s="197">
        <v>32.92</v>
      </c>
      <c r="F187" s="164">
        <f t="shared" si="13"/>
        <v>32.521999999999998</v>
      </c>
      <c r="G187" s="165" t="s">
        <v>8</v>
      </c>
      <c r="H187" s="164">
        <f t="shared" si="12"/>
        <v>5441.6999999999962</v>
      </c>
      <c r="I187" s="165">
        <f t="shared" si="11"/>
        <v>6377.140000000004</v>
      </c>
      <c r="J187" s="177">
        <f t="shared" si="10"/>
        <v>245.13768571428565</v>
      </c>
      <c r="K187" s="518"/>
      <c r="L187" s="519"/>
    </row>
    <row r="188" spans="1:13">
      <c r="A188" s="298">
        <v>166</v>
      </c>
      <c r="B188" s="492" t="s">
        <v>152</v>
      </c>
      <c r="C188" s="493"/>
      <c r="D188" s="300">
        <f t="shared" si="14"/>
        <v>205</v>
      </c>
      <c r="E188" s="197">
        <v>33.01</v>
      </c>
      <c r="F188" s="164">
        <f t="shared" si="13"/>
        <v>32.611999999999995</v>
      </c>
      <c r="G188" s="165" t="s">
        <v>8</v>
      </c>
      <c r="H188" s="164">
        <f t="shared" si="12"/>
        <v>5474.3119999999963</v>
      </c>
      <c r="I188" s="165">
        <f t="shared" si="11"/>
        <v>6344.5280000000039</v>
      </c>
      <c r="J188" s="177">
        <f t="shared" si="10"/>
        <v>245.84568251795258</v>
      </c>
      <c r="K188" s="518"/>
      <c r="L188" s="519"/>
    </row>
    <row r="189" spans="1:13">
      <c r="A189" s="298">
        <v>167</v>
      </c>
      <c r="B189" s="492" t="s">
        <v>152</v>
      </c>
      <c r="C189" s="493"/>
      <c r="D189" s="300">
        <f t="shared" si="14"/>
        <v>204</v>
      </c>
      <c r="E189" s="197">
        <v>31.52</v>
      </c>
      <c r="F189" s="164">
        <f t="shared" si="13"/>
        <v>31.122</v>
      </c>
      <c r="G189" s="165" t="s">
        <v>8</v>
      </c>
      <c r="H189" s="164">
        <f t="shared" si="12"/>
        <v>5505.4339999999966</v>
      </c>
      <c r="I189" s="165">
        <f t="shared" si="11"/>
        <v>6313.4060000000036</v>
      </c>
      <c r="J189" s="177">
        <f t="shared" si="10"/>
        <v>246.52133186554613</v>
      </c>
      <c r="K189" s="518"/>
      <c r="L189" s="519"/>
    </row>
    <row r="190" spans="1:13">
      <c r="A190" s="298">
        <v>168</v>
      </c>
      <c r="B190" s="492" t="s">
        <v>152</v>
      </c>
      <c r="C190" s="493"/>
      <c r="D190" s="300">
        <f t="shared" si="14"/>
        <v>203</v>
      </c>
      <c r="E190" s="197">
        <v>33.020000000000003</v>
      </c>
      <c r="F190" s="164">
        <f t="shared" si="13"/>
        <v>32.622</v>
      </c>
      <c r="G190" s="165" t="s">
        <v>8</v>
      </c>
      <c r="H190" s="164">
        <f t="shared" si="12"/>
        <v>5538.0559999999969</v>
      </c>
      <c r="I190" s="165">
        <f t="shared" si="11"/>
        <v>6280.7840000000033</v>
      </c>
      <c r="J190" s="177">
        <f t="shared" si="10"/>
        <v>247.22954576623371</v>
      </c>
      <c r="K190" s="518"/>
      <c r="L190" s="519"/>
    </row>
    <row r="191" spans="1:13">
      <c r="A191" s="298">
        <v>169</v>
      </c>
      <c r="B191" s="492" t="s">
        <v>152</v>
      </c>
      <c r="C191" s="493"/>
      <c r="D191" s="300">
        <f t="shared" si="14"/>
        <v>202</v>
      </c>
      <c r="E191" s="197">
        <v>33.43</v>
      </c>
      <c r="F191" s="164">
        <f t="shared" si="13"/>
        <v>33.031999999999996</v>
      </c>
      <c r="G191" s="165" t="s">
        <v>8</v>
      </c>
      <c r="H191" s="164">
        <f t="shared" si="12"/>
        <v>5571.087999999997</v>
      </c>
      <c r="I191" s="165">
        <f t="shared" si="11"/>
        <v>6247.7520000000031</v>
      </c>
      <c r="J191" s="177">
        <f t="shared" si="10"/>
        <v>247.94666064476695</v>
      </c>
      <c r="K191" s="518"/>
      <c r="L191" s="519"/>
    </row>
    <row r="192" spans="1:13">
      <c r="A192" s="298">
        <v>170</v>
      </c>
      <c r="B192" s="492" t="s">
        <v>152</v>
      </c>
      <c r="C192" s="493"/>
      <c r="D192" s="300">
        <f t="shared" si="14"/>
        <v>201</v>
      </c>
      <c r="E192" s="197">
        <v>33.04</v>
      </c>
      <c r="F192" s="164">
        <f t="shared" si="13"/>
        <v>32.641999999999996</v>
      </c>
      <c r="G192" s="165" t="s">
        <v>8</v>
      </c>
      <c r="H192" s="164">
        <f t="shared" si="12"/>
        <v>5603.7299999999968</v>
      </c>
      <c r="I192" s="165">
        <f t="shared" si="11"/>
        <v>6215.1100000000033</v>
      </c>
      <c r="J192" s="177">
        <f t="shared" si="10"/>
        <v>248.65530873949575</v>
      </c>
      <c r="K192" s="518"/>
      <c r="L192" s="519"/>
    </row>
    <row r="193" spans="1:12">
      <c r="A193" s="298">
        <v>171</v>
      </c>
      <c r="B193" s="492" t="s">
        <v>152</v>
      </c>
      <c r="C193" s="493"/>
      <c r="D193" s="300">
        <f t="shared" si="14"/>
        <v>200</v>
      </c>
      <c r="E193" s="197">
        <v>33.44</v>
      </c>
      <c r="F193" s="164">
        <f t="shared" si="13"/>
        <v>33.041999999999994</v>
      </c>
      <c r="G193" s="165" t="s">
        <v>8</v>
      </c>
      <c r="H193" s="164">
        <f t="shared" si="12"/>
        <v>5636.7719999999972</v>
      </c>
      <c r="I193" s="165">
        <f t="shared" si="11"/>
        <v>6182.0680000000029</v>
      </c>
      <c r="J193" s="177">
        <f t="shared" si="10"/>
        <v>249.37264071504961</v>
      </c>
      <c r="K193" s="518"/>
      <c r="L193" s="519"/>
    </row>
    <row r="194" spans="1:12">
      <c r="A194" s="298">
        <v>172</v>
      </c>
      <c r="B194" s="492" t="s">
        <v>152</v>
      </c>
      <c r="C194" s="493"/>
      <c r="D194" s="300">
        <f t="shared" si="14"/>
        <v>199</v>
      </c>
      <c r="E194" s="197">
        <v>32.72</v>
      </c>
      <c r="F194" s="164">
        <f t="shared" si="13"/>
        <v>32.321999999999996</v>
      </c>
      <c r="G194" s="165" t="s">
        <v>8</v>
      </c>
      <c r="H194" s="164">
        <f t="shared" si="12"/>
        <v>5669.0939999999973</v>
      </c>
      <c r="I194" s="165">
        <f t="shared" si="11"/>
        <v>6149.7460000000028</v>
      </c>
      <c r="J194" s="177">
        <f t="shared" si="10"/>
        <v>250.07434170511837</v>
      </c>
      <c r="K194" s="518"/>
      <c r="L194" s="519"/>
    </row>
    <row r="195" spans="1:12">
      <c r="A195" s="298">
        <v>173</v>
      </c>
      <c r="B195" s="492" t="s">
        <v>152</v>
      </c>
      <c r="C195" s="493"/>
      <c r="D195" s="300">
        <f t="shared" si="14"/>
        <v>198</v>
      </c>
      <c r="E195" s="197">
        <v>33</v>
      </c>
      <c r="F195" s="164">
        <f t="shared" si="13"/>
        <v>32.601999999999997</v>
      </c>
      <c r="G195" s="165" t="s">
        <v>8</v>
      </c>
      <c r="H195" s="164">
        <f t="shared" si="12"/>
        <v>5701.6959999999972</v>
      </c>
      <c r="I195" s="165">
        <f t="shared" si="11"/>
        <v>6117.144000000003</v>
      </c>
      <c r="J195" s="177">
        <f t="shared" si="10"/>
        <v>250.78212141176465</v>
      </c>
      <c r="K195" s="518"/>
      <c r="L195" s="519"/>
    </row>
    <row r="196" spans="1:12">
      <c r="A196" s="298">
        <v>174</v>
      </c>
      <c r="B196" s="492" t="s">
        <v>152</v>
      </c>
      <c r="C196" s="493"/>
      <c r="D196" s="300">
        <f t="shared" si="14"/>
        <v>197</v>
      </c>
      <c r="E196" s="197">
        <v>33.22</v>
      </c>
      <c r="F196" s="164">
        <f t="shared" si="13"/>
        <v>32.821999999999996</v>
      </c>
      <c r="G196" s="165" t="s">
        <v>8</v>
      </c>
      <c r="H196" s="164">
        <f t="shared" si="12"/>
        <v>5734.5179999999973</v>
      </c>
      <c r="I196" s="165">
        <f t="shared" si="11"/>
        <v>6084.3220000000028</v>
      </c>
      <c r="J196" s="177">
        <f t="shared" si="10"/>
        <v>251.49467725286473</v>
      </c>
      <c r="K196" s="518"/>
      <c r="L196" s="519"/>
    </row>
    <row r="197" spans="1:12">
      <c r="A197" s="298">
        <v>175</v>
      </c>
      <c r="B197" s="492" t="s">
        <v>152</v>
      </c>
      <c r="C197" s="493"/>
      <c r="D197" s="300">
        <f t="shared" si="14"/>
        <v>196</v>
      </c>
      <c r="E197" s="197">
        <v>33.909999999999997</v>
      </c>
      <c r="F197" s="164">
        <f t="shared" si="13"/>
        <v>33.511999999999993</v>
      </c>
      <c r="G197" s="165" t="s">
        <v>8</v>
      </c>
      <c r="H197" s="164">
        <f t="shared" si="12"/>
        <v>5768.029999999997</v>
      </c>
      <c r="I197" s="165">
        <f t="shared" si="11"/>
        <v>6050.8100000000031</v>
      </c>
      <c r="J197" s="177">
        <f t="shared" si="10"/>
        <v>252.22221278838802</v>
      </c>
      <c r="K197" s="518"/>
      <c r="L197" s="519"/>
    </row>
    <row r="198" spans="1:12">
      <c r="A198" s="298">
        <v>176</v>
      </c>
      <c r="B198" s="492" t="s">
        <v>152</v>
      </c>
      <c r="C198" s="493"/>
      <c r="D198" s="300">
        <f t="shared" si="14"/>
        <v>195</v>
      </c>
      <c r="E198" s="197">
        <v>33.409999999999997</v>
      </c>
      <c r="F198" s="164">
        <f t="shared" si="13"/>
        <v>33.011999999999993</v>
      </c>
      <c r="G198" s="165" t="s">
        <v>8</v>
      </c>
      <c r="H198" s="164">
        <f t="shared" si="12"/>
        <v>5801.0419999999967</v>
      </c>
      <c r="I198" s="165">
        <f t="shared" si="11"/>
        <v>6017.7980000000034</v>
      </c>
      <c r="J198" s="177">
        <f t="shared" si="10"/>
        <v>252.93889347288001</v>
      </c>
      <c r="K198" s="518"/>
      <c r="L198" s="519"/>
    </row>
    <row r="199" spans="1:12">
      <c r="A199" s="298">
        <v>177</v>
      </c>
      <c r="B199" s="492" t="s">
        <v>152</v>
      </c>
      <c r="C199" s="493"/>
      <c r="D199" s="300">
        <f t="shared" si="14"/>
        <v>194</v>
      </c>
      <c r="E199" s="197">
        <v>33.729999999999997</v>
      </c>
      <c r="F199" s="164">
        <f t="shared" si="13"/>
        <v>33.331999999999994</v>
      </c>
      <c r="G199" s="165" t="s">
        <v>8</v>
      </c>
      <c r="H199" s="164">
        <f t="shared" si="12"/>
        <v>5834.3739999999971</v>
      </c>
      <c r="I199" s="165">
        <f t="shared" si="11"/>
        <v>5984.4660000000031</v>
      </c>
      <c r="J199" s="177">
        <f t="shared" si="10"/>
        <v>253.66252126203204</v>
      </c>
      <c r="K199" s="518"/>
      <c r="L199" s="519"/>
    </row>
    <row r="200" spans="1:12">
      <c r="A200" s="298">
        <v>178</v>
      </c>
      <c r="B200" s="492" t="s">
        <v>152</v>
      </c>
      <c r="C200" s="493"/>
      <c r="D200" s="300">
        <f t="shared" si="14"/>
        <v>193</v>
      </c>
      <c r="E200" s="197">
        <v>33.4</v>
      </c>
      <c r="F200" s="164">
        <f t="shared" si="13"/>
        <v>33.001999999999995</v>
      </c>
      <c r="G200" s="165" t="s">
        <v>8</v>
      </c>
      <c r="H200" s="164">
        <f t="shared" si="12"/>
        <v>5867.3759999999975</v>
      </c>
      <c r="I200" s="165">
        <f t="shared" si="11"/>
        <v>5951.4640000000027</v>
      </c>
      <c r="J200" s="177">
        <f t="shared" si="10"/>
        <v>254.37898484950341</v>
      </c>
      <c r="K200" s="518"/>
      <c r="L200" s="519"/>
    </row>
    <row r="201" spans="1:12">
      <c r="A201" s="298">
        <v>179</v>
      </c>
      <c r="B201" s="492" t="s">
        <v>152</v>
      </c>
      <c r="C201" s="493"/>
      <c r="D201" s="300">
        <f t="shared" si="14"/>
        <v>192</v>
      </c>
      <c r="E201" s="197">
        <v>33.54</v>
      </c>
      <c r="F201" s="164">
        <f t="shared" si="13"/>
        <v>33.141999999999996</v>
      </c>
      <c r="G201" s="165" t="s">
        <v>8</v>
      </c>
      <c r="H201" s="164">
        <f t="shared" si="12"/>
        <v>5900.5179999999973</v>
      </c>
      <c r="I201" s="165">
        <f t="shared" si="11"/>
        <v>5918.3220000000028</v>
      </c>
      <c r="J201" s="177">
        <f t="shared" si="10"/>
        <v>255.09848779526351</v>
      </c>
      <c r="K201" s="518"/>
      <c r="L201" s="519"/>
    </row>
    <row r="202" spans="1:12">
      <c r="A202" s="298">
        <v>180</v>
      </c>
      <c r="B202" s="492" t="s">
        <v>152</v>
      </c>
      <c r="C202" s="493"/>
      <c r="D202" s="300">
        <f t="shared" si="14"/>
        <v>191</v>
      </c>
      <c r="E202" s="197">
        <v>32.97</v>
      </c>
      <c r="F202" s="164">
        <f t="shared" si="13"/>
        <v>32.571999999999996</v>
      </c>
      <c r="G202" s="165" t="s">
        <v>8</v>
      </c>
      <c r="H202" s="164">
        <f t="shared" si="12"/>
        <v>5933.0899999999974</v>
      </c>
      <c r="I202" s="165">
        <f t="shared" si="11"/>
        <v>5885.7500000000027</v>
      </c>
      <c r="J202" s="177">
        <f t="shared" si="10"/>
        <v>255.80561621084794</v>
      </c>
      <c r="K202" s="518"/>
      <c r="L202" s="519"/>
    </row>
    <row r="203" spans="1:12">
      <c r="A203" s="298">
        <v>181</v>
      </c>
      <c r="B203" s="492" t="s">
        <v>152</v>
      </c>
      <c r="C203" s="493"/>
      <c r="D203" s="300">
        <f t="shared" si="14"/>
        <v>190</v>
      </c>
      <c r="E203" s="197">
        <v>33.200000000000003</v>
      </c>
      <c r="F203" s="164">
        <f t="shared" si="13"/>
        <v>32.802</v>
      </c>
      <c r="G203" s="165" t="s">
        <v>8</v>
      </c>
      <c r="H203" s="164">
        <f t="shared" si="12"/>
        <v>5965.8919999999971</v>
      </c>
      <c r="I203" s="165">
        <f t="shared" si="11"/>
        <v>5852.948000000003</v>
      </c>
      <c r="J203" s="177">
        <f t="shared" si="10"/>
        <v>256.51773785790675</v>
      </c>
      <c r="K203" s="518"/>
      <c r="L203" s="519"/>
    </row>
    <row r="204" spans="1:12">
      <c r="A204" s="298">
        <v>182</v>
      </c>
      <c r="B204" s="492" t="s">
        <v>152</v>
      </c>
      <c r="C204" s="493"/>
      <c r="D204" s="300">
        <f t="shared" si="14"/>
        <v>189</v>
      </c>
      <c r="E204" s="197">
        <v>33.64</v>
      </c>
      <c r="F204" s="164">
        <f t="shared" si="13"/>
        <v>33.241999999999997</v>
      </c>
      <c r="G204" s="165" t="s">
        <v>8</v>
      </c>
      <c r="H204" s="164">
        <f t="shared" si="12"/>
        <v>5999.1339999999973</v>
      </c>
      <c r="I204" s="165">
        <f t="shared" si="11"/>
        <v>5819.7060000000029</v>
      </c>
      <c r="J204" s="177">
        <f t="shared" si="10"/>
        <v>257.23941177387314</v>
      </c>
      <c r="K204" s="518"/>
      <c r="L204" s="519"/>
    </row>
    <row r="205" spans="1:12">
      <c r="A205" s="298">
        <v>183</v>
      </c>
      <c r="B205" s="492" t="s">
        <v>152</v>
      </c>
      <c r="C205" s="493"/>
      <c r="D205" s="300">
        <f t="shared" si="14"/>
        <v>188</v>
      </c>
      <c r="E205" s="197">
        <v>33.61</v>
      </c>
      <c r="F205" s="164">
        <f t="shared" si="13"/>
        <v>33.211999999999996</v>
      </c>
      <c r="G205" s="165" t="s">
        <v>8</v>
      </c>
      <c r="H205" s="164">
        <f t="shared" si="12"/>
        <v>6032.3459999999977</v>
      </c>
      <c r="I205" s="165">
        <f t="shared" si="11"/>
        <v>5786.4940000000024</v>
      </c>
      <c r="J205" s="177">
        <f t="shared" si="10"/>
        <v>257.96043439877769</v>
      </c>
      <c r="K205" s="518"/>
      <c r="L205" s="519"/>
    </row>
    <row r="206" spans="1:12">
      <c r="A206" s="298">
        <v>184</v>
      </c>
      <c r="B206" s="492" t="s">
        <v>152</v>
      </c>
      <c r="C206" s="493"/>
      <c r="D206" s="300">
        <f t="shared" si="14"/>
        <v>187</v>
      </c>
      <c r="E206" s="197">
        <v>33.42</v>
      </c>
      <c r="F206" s="164">
        <f t="shared" si="13"/>
        <v>33.021999999999998</v>
      </c>
      <c r="G206" s="165" t="s">
        <v>8</v>
      </c>
      <c r="H206" s="164">
        <f t="shared" si="12"/>
        <v>6065.3679999999977</v>
      </c>
      <c r="I206" s="165">
        <f t="shared" si="11"/>
        <v>5753.4720000000025</v>
      </c>
      <c r="J206" s="177">
        <f t="shared" ref="J206:J269" si="15">$G$7+(H206*$C$8*$G$10/1000)</f>
        <v>258.67733218029025</v>
      </c>
      <c r="K206" s="518"/>
      <c r="L206" s="519"/>
    </row>
    <row r="207" spans="1:12">
      <c r="A207" s="298">
        <v>185</v>
      </c>
      <c r="B207" s="492" t="s">
        <v>152</v>
      </c>
      <c r="C207" s="493"/>
      <c r="D207" s="300">
        <f t="shared" si="14"/>
        <v>186</v>
      </c>
      <c r="E207" s="197">
        <v>33.869999999999997</v>
      </c>
      <c r="F207" s="164">
        <f t="shared" si="13"/>
        <v>33.471999999999994</v>
      </c>
      <c r="G207" s="165" t="s">
        <v>8</v>
      </c>
      <c r="H207" s="164">
        <f t="shared" si="12"/>
        <v>6098.8399999999974</v>
      </c>
      <c r="I207" s="165">
        <f t="shared" ref="I207:I270" si="16">IF(H207="","",$K$6-H207)</f>
        <v>5720.0000000000027</v>
      </c>
      <c r="J207" s="177">
        <f t="shared" si="15"/>
        <v>259.40399932773107</v>
      </c>
      <c r="K207" s="518"/>
      <c r="L207" s="519"/>
    </row>
    <row r="208" spans="1:12">
      <c r="A208" s="298">
        <v>186</v>
      </c>
      <c r="B208" s="492" t="s">
        <v>152</v>
      </c>
      <c r="C208" s="493"/>
      <c r="D208" s="300">
        <f t="shared" si="14"/>
        <v>185</v>
      </c>
      <c r="E208" s="197">
        <v>33.22</v>
      </c>
      <c r="F208" s="164">
        <f t="shared" si="13"/>
        <v>32.821999999999996</v>
      </c>
      <c r="G208" s="165" t="s">
        <v>8</v>
      </c>
      <c r="H208" s="164">
        <f t="shared" si="12"/>
        <v>6131.6619999999975</v>
      </c>
      <c r="I208" s="165">
        <f t="shared" si="16"/>
        <v>5687.1780000000026</v>
      </c>
      <c r="J208" s="177">
        <f t="shared" si="15"/>
        <v>260.11655516883116</v>
      </c>
      <c r="K208" s="518"/>
      <c r="L208" s="519"/>
    </row>
    <row r="209" spans="1:13">
      <c r="A209" s="298">
        <v>187</v>
      </c>
      <c r="B209" s="492" t="s">
        <v>152</v>
      </c>
      <c r="C209" s="493"/>
      <c r="D209" s="300">
        <f t="shared" si="14"/>
        <v>184</v>
      </c>
      <c r="E209" s="197">
        <v>33.049999999999997</v>
      </c>
      <c r="F209" s="164">
        <f t="shared" si="13"/>
        <v>32.651999999999994</v>
      </c>
      <c r="G209" s="165" t="s">
        <v>8</v>
      </c>
      <c r="H209" s="164">
        <f t="shared" si="12"/>
        <v>6164.3139999999976</v>
      </c>
      <c r="I209" s="165">
        <f t="shared" si="16"/>
        <v>5654.5260000000026</v>
      </c>
      <c r="J209" s="177">
        <f t="shared" si="15"/>
        <v>260.82542036058055</v>
      </c>
      <c r="K209" s="518"/>
      <c r="L209" s="519"/>
    </row>
    <row r="210" spans="1:13">
      <c r="A210" s="298">
        <v>188</v>
      </c>
      <c r="B210" s="492" t="s">
        <v>152</v>
      </c>
      <c r="C210" s="493"/>
      <c r="D210" s="300">
        <f t="shared" si="14"/>
        <v>183</v>
      </c>
      <c r="E210" s="197">
        <v>33.17</v>
      </c>
      <c r="F210" s="164">
        <f t="shared" si="13"/>
        <v>32.771999999999998</v>
      </c>
      <c r="G210" s="165" t="s">
        <v>8</v>
      </c>
      <c r="H210" s="164">
        <f t="shared" ref="H210:H273" si="17">IF(G210="IN",H209+F210,H209)</f>
        <v>6197.0859999999975</v>
      </c>
      <c r="I210" s="165">
        <f t="shared" si="16"/>
        <v>5621.7540000000026</v>
      </c>
      <c r="J210" s="177">
        <f t="shared" si="15"/>
        <v>261.53689071657749</v>
      </c>
      <c r="K210" s="518"/>
      <c r="L210" s="519"/>
    </row>
    <row r="211" spans="1:13">
      <c r="A211" s="298">
        <v>189</v>
      </c>
      <c r="B211" s="492" t="s">
        <v>152</v>
      </c>
      <c r="C211" s="493"/>
      <c r="D211" s="300">
        <f t="shared" si="14"/>
        <v>182</v>
      </c>
      <c r="E211" s="197">
        <v>32.729999999999997</v>
      </c>
      <c r="F211" s="164">
        <f t="shared" si="13"/>
        <v>32.331999999999994</v>
      </c>
      <c r="G211" s="165" t="s">
        <v>8</v>
      </c>
      <c r="H211" s="164">
        <f t="shared" si="17"/>
        <v>6229.4179999999978</v>
      </c>
      <c r="I211" s="165">
        <f t="shared" si="16"/>
        <v>5589.4220000000023</v>
      </c>
      <c r="J211" s="177">
        <f t="shared" si="15"/>
        <v>262.23880880366687</v>
      </c>
      <c r="K211" s="518"/>
      <c r="L211" s="519"/>
    </row>
    <row r="212" spans="1:13">
      <c r="A212" s="298">
        <v>190</v>
      </c>
      <c r="B212" s="492" t="s">
        <v>152</v>
      </c>
      <c r="C212" s="493"/>
      <c r="D212" s="300">
        <f t="shared" si="14"/>
        <v>181</v>
      </c>
      <c r="E212" s="197">
        <v>33.31</v>
      </c>
      <c r="F212" s="164">
        <f t="shared" si="13"/>
        <v>32.911999999999999</v>
      </c>
      <c r="G212" s="165" t="s">
        <v>8</v>
      </c>
      <c r="H212" s="164">
        <f t="shared" si="17"/>
        <v>6262.3299999999981</v>
      </c>
      <c r="I212" s="165">
        <f t="shared" si="16"/>
        <v>5556.510000000002</v>
      </c>
      <c r="J212" s="177">
        <f t="shared" si="15"/>
        <v>262.9533185179526</v>
      </c>
      <c r="K212" s="518"/>
      <c r="L212" s="519"/>
    </row>
    <row r="213" spans="1:13">
      <c r="A213" s="298">
        <v>191</v>
      </c>
      <c r="B213" s="492" t="s">
        <v>152</v>
      </c>
      <c r="C213" s="493"/>
      <c r="D213" s="300">
        <f t="shared" si="14"/>
        <v>180</v>
      </c>
      <c r="E213" s="197">
        <v>33.04</v>
      </c>
      <c r="F213" s="164">
        <f t="shared" si="13"/>
        <v>32.641999999999996</v>
      </c>
      <c r="G213" s="165" t="s">
        <v>8</v>
      </c>
      <c r="H213" s="164">
        <f t="shared" si="17"/>
        <v>6294.9719999999979</v>
      </c>
      <c r="I213" s="165">
        <f t="shared" si="16"/>
        <v>5523.8680000000022</v>
      </c>
      <c r="J213" s="177">
        <f t="shared" si="15"/>
        <v>263.6619666126814</v>
      </c>
      <c r="K213" s="518"/>
      <c r="L213" s="519"/>
    </row>
    <row r="214" spans="1:13" s="152" customFormat="1">
      <c r="A214" s="298">
        <v>192</v>
      </c>
      <c r="B214" s="492" t="s">
        <v>152</v>
      </c>
      <c r="C214" s="493"/>
      <c r="D214" s="300">
        <f t="shared" si="14"/>
        <v>179</v>
      </c>
      <c r="E214" s="197">
        <v>33.049999999999997</v>
      </c>
      <c r="F214" s="164">
        <f t="shared" si="13"/>
        <v>32.651999999999994</v>
      </c>
      <c r="G214" s="165" t="s">
        <v>8</v>
      </c>
      <c r="H214" s="164">
        <f t="shared" si="17"/>
        <v>6327.623999999998</v>
      </c>
      <c r="I214" s="165">
        <f t="shared" si="16"/>
        <v>5491.2160000000022</v>
      </c>
      <c r="J214" s="177">
        <f t="shared" si="15"/>
        <v>264.37083180443085</v>
      </c>
      <c r="K214" s="536"/>
      <c r="L214" s="537"/>
      <c r="M214" s="151"/>
    </row>
    <row r="215" spans="1:13">
      <c r="A215" s="298">
        <v>193</v>
      </c>
      <c r="B215" s="492" t="s">
        <v>152</v>
      </c>
      <c r="C215" s="493"/>
      <c r="D215" s="300">
        <f t="shared" si="14"/>
        <v>178</v>
      </c>
      <c r="E215" s="197">
        <v>33.14</v>
      </c>
      <c r="F215" s="164">
        <f t="shared" ref="F215:F278" si="18">E215-($C$10)</f>
        <v>32.741999999999997</v>
      </c>
      <c r="G215" s="165" t="s">
        <v>8</v>
      </c>
      <c r="H215" s="164">
        <f t="shared" si="17"/>
        <v>6360.3659999999982</v>
      </c>
      <c r="I215" s="165">
        <f t="shared" si="16"/>
        <v>5458.474000000002</v>
      </c>
      <c r="J215" s="177">
        <f t="shared" si="15"/>
        <v>265.08165086936589</v>
      </c>
      <c r="K215" s="518"/>
      <c r="L215" s="519"/>
    </row>
    <row r="216" spans="1:13">
      <c r="A216" s="298">
        <v>194</v>
      </c>
      <c r="B216" s="492" t="s">
        <v>152</v>
      </c>
      <c r="C216" s="493"/>
      <c r="D216" s="300">
        <f t="shared" si="14"/>
        <v>177</v>
      </c>
      <c r="E216" s="197">
        <v>33.29</v>
      </c>
      <c r="F216" s="164">
        <f t="shared" si="18"/>
        <v>32.891999999999996</v>
      </c>
      <c r="G216" s="165" t="s">
        <v>8</v>
      </c>
      <c r="H216" s="164">
        <f t="shared" si="17"/>
        <v>6393.257999999998</v>
      </c>
      <c r="I216" s="165">
        <f t="shared" si="16"/>
        <v>5425.5820000000022</v>
      </c>
      <c r="J216" s="177">
        <f t="shared" si="15"/>
        <v>265.79572638961042</v>
      </c>
      <c r="K216" s="518"/>
      <c r="L216" s="519"/>
    </row>
    <row r="217" spans="1:13">
      <c r="A217" s="298">
        <v>195</v>
      </c>
      <c r="B217" s="492" t="s">
        <v>152</v>
      </c>
      <c r="C217" s="493"/>
      <c r="D217" s="300">
        <f t="shared" ref="D217:D280" si="19">D216-1</f>
        <v>176</v>
      </c>
      <c r="E217" s="197">
        <v>33.619999999999997</v>
      </c>
      <c r="F217" s="164">
        <f t="shared" si="18"/>
        <v>33.221999999999994</v>
      </c>
      <c r="G217" s="165" t="s">
        <v>8</v>
      </c>
      <c r="H217" s="164">
        <f t="shared" si="17"/>
        <v>6426.4799999999977</v>
      </c>
      <c r="I217" s="165">
        <f t="shared" si="16"/>
        <v>5392.3600000000024</v>
      </c>
      <c r="J217" s="177">
        <f t="shared" si="15"/>
        <v>266.51696611153551</v>
      </c>
      <c r="K217" s="518"/>
      <c r="L217" s="519"/>
    </row>
    <row r="218" spans="1:13">
      <c r="A218" s="298">
        <v>196</v>
      </c>
      <c r="B218" s="492" t="s">
        <v>152</v>
      </c>
      <c r="C218" s="493"/>
      <c r="D218" s="300">
        <f t="shared" si="19"/>
        <v>175</v>
      </c>
      <c r="E218" s="197">
        <v>33.21</v>
      </c>
      <c r="F218" s="164">
        <f t="shared" si="18"/>
        <v>32.811999999999998</v>
      </c>
      <c r="G218" s="165" t="s">
        <v>8</v>
      </c>
      <c r="H218" s="164">
        <f t="shared" si="17"/>
        <v>6459.2919999999976</v>
      </c>
      <c r="I218" s="165">
        <f t="shared" si="16"/>
        <v>5359.5480000000025</v>
      </c>
      <c r="J218" s="177">
        <f t="shared" si="15"/>
        <v>267.22930485561494</v>
      </c>
      <c r="K218" s="518"/>
      <c r="L218" s="519"/>
    </row>
    <row r="219" spans="1:13">
      <c r="A219" s="298">
        <v>197</v>
      </c>
      <c r="B219" s="492" t="s">
        <v>152</v>
      </c>
      <c r="C219" s="493"/>
      <c r="D219" s="300">
        <f t="shared" si="19"/>
        <v>174</v>
      </c>
      <c r="E219" s="197">
        <v>33.39</v>
      </c>
      <c r="F219" s="164">
        <f t="shared" si="18"/>
        <v>32.991999999999997</v>
      </c>
      <c r="G219" s="165" t="s">
        <v>8</v>
      </c>
      <c r="H219" s="164">
        <f t="shared" si="17"/>
        <v>6492.2839999999978</v>
      </c>
      <c r="I219" s="165">
        <f t="shared" si="16"/>
        <v>5326.5560000000023</v>
      </c>
      <c r="J219" s="177">
        <f t="shared" si="15"/>
        <v>267.94555134606566</v>
      </c>
      <c r="K219" s="518"/>
      <c r="L219" s="519"/>
    </row>
    <row r="220" spans="1:13">
      <c r="A220" s="298">
        <v>198</v>
      </c>
      <c r="B220" s="492" t="s">
        <v>152</v>
      </c>
      <c r="C220" s="493"/>
      <c r="D220" s="300">
        <f t="shared" si="19"/>
        <v>173</v>
      </c>
      <c r="E220" s="197">
        <v>32.26</v>
      </c>
      <c r="F220" s="164">
        <f t="shared" si="18"/>
        <v>31.861999999999998</v>
      </c>
      <c r="G220" s="165" t="s">
        <v>8</v>
      </c>
      <c r="H220" s="164">
        <f t="shared" si="17"/>
        <v>6524.1459999999979</v>
      </c>
      <c r="I220" s="165">
        <f t="shared" si="16"/>
        <v>5294.6940000000022</v>
      </c>
      <c r="J220" s="177">
        <f t="shared" si="15"/>
        <v>268.63726587318558</v>
      </c>
      <c r="K220" s="240"/>
      <c r="L220" s="241"/>
    </row>
    <row r="221" spans="1:13">
      <c r="A221" s="298">
        <v>199</v>
      </c>
      <c r="B221" s="492" t="s">
        <v>152</v>
      </c>
      <c r="C221" s="493"/>
      <c r="D221" s="300">
        <f t="shared" si="19"/>
        <v>172</v>
      </c>
      <c r="E221" s="197">
        <v>33.83</v>
      </c>
      <c r="F221" s="164">
        <f t="shared" si="18"/>
        <v>33.431999999999995</v>
      </c>
      <c r="G221" s="165" t="s">
        <v>8</v>
      </c>
      <c r="H221" s="164">
        <f t="shared" si="17"/>
        <v>6557.5779999999977</v>
      </c>
      <c r="I221" s="165">
        <f t="shared" si="16"/>
        <v>5261.2620000000024</v>
      </c>
      <c r="J221" s="177">
        <f t="shared" si="15"/>
        <v>269.36306463254391</v>
      </c>
      <c r="K221" s="240"/>
      <c r="L221" s="241"/>
    </row>
    <row r="222" spans="1:13">
      <c r="A222" s="298">
        <v>200</v>
      </c>
      <c r="B222" s="492" t="s">
        <v>152</v>
      </c>
      <c r="C222" s="493"/>
      <c r="D222" s="300">
        <f t="shared" si="19"/>
        <v>171</v>
      </c>
      <c r="E222" s="197">
        <v>33.43</v>
      </c>
      <c r="F222" s="164">
        <f t="shared" si="18"/>
        <v>33.031999999999996</v>
      </c>
      <c r="G222" s="165" t="s">
        <v>8</v>
      </c>
      <c r="H222" s="164">
        <f t="shared" si="17"/>
        <v>6590.6099999999979</v>
      </c>
      <c r="I222" s="165">
        <f t="shared" si="16"/>
        <v>5228.2300000000023</v>
      </c>
      <c r="J222" s="177">
        <f t="shared" si="15"/>
        <v>270.08017951107718</v>
      </c>
      <c r="K222" s="240"/>
      <c r="L222" s="241"/>
    </row>
    <row r="223" spans="1:13">
      <c r="A223" s="298">
        <v>201</v>
      </c>
      <c r="B223" s="492" t="s">
        <v>152</v>
      </c>
      <c r="C223" s="493"/>
      <c r="D223" s="300">
        <f t="shared" si="19"/>
        <v>170</v>
      </c>
      <c r="E223" s="197">
        <v>33.14</v>
      </c>
      <c r="F223" s="164">
        <f t="shared" si="18"/>
        <v>32.741999999999997</v>
      </c>
      <c r="G223" s="165" t="s">
        <v>8</v>
      </c>
      <c r="H223" s="164">
        <f t="shared" si="17"/>
        <v>6623.351999999998</v>
      </c>
      <c r="I223" s="165">
        <f t="shared" si="16"/>
        <v>5195.4880000000021</v>
      </c>
      <c r="J223" s="177">
        <f t="shared" si="15"/>
        <v>270.79099857601221</v>
      </c>
      <c r="K223" s="240"/>
      <c r="L223" s="241"/>
    </row>
    <row r="224" spans="1:13">
      <c r="A224" s="298">
        <v>202</v>
      </c>
      <c r="B224" s="492" t="s">
        <v>152</v>
      </c>
      <c r="C224" s="493"/>
      <c r="D224" s="300">
        <f t="shared" si="19"/>
        <v>169</v>
      </c>
      <c r="E224" s="197">
        <v>33.1</v>
      </c>
      <c r="F224" s="164">
        <f t="shared" si="18"/>
        <v>32.701999999999998</v>
      </c>
      <c r="G224" s="165" t="s">
        <v>8</v>
      </c>
      <c r="H224" s="164">
        <f t="shared" si="17"/>
        <v>6656.0539999999983</v>
      </c>
      <c r="I224" s="165">
        <f t="shared" si="16"/>
        <v>5162.7860000000019</v>
      </c>
      <c r="J224" s="177">
        <f t="shared" si="15"/>
        <v>271.50094925286476</v>
      </c>
      <c r="K224" s="240"/>
      <c r="L224" s="241"/>
    </row>
    <row r="225" spans="1:12">
      <c r="A225" s="298">
        <v>203</v>
      </c>
      <c r="B225" s="492" t="s">
        <v>152</v>
      </c>
      <c r="C225" s="493"/>
      <c r="D225" s="300">
        <f t="shared" si="19"/>
        <v>168</v>
      </c>
      <c r="E225" s="197">
        <v>33.49</v>
      </c>
      <c r="F225" s="164">
        <f t="shared" si="18"/>
        <v>33.091999999999999</v>
      </c>
      <c r="G225" s="165" t="s">
        <v>8</v>
      </c>
      <c r="H225" s="164">
        <f t="shared" si="17"/>
        <v>6689.1459999999979</v>
      </c>
      <c r="I225" s="165">
        <f t="shared" si="16"/>
        <v>5129.6940000000022</v>
      </c>
      <c r="J225" s="177">
        <f t="shared" si="15"/>
        <v>272.21936671352171</v>
      </c>
      <c r="K225" s="240"/>
      <c r="L225" s="241"/>
    </row>
    <row r="226" spans="1:12">
      <c r="A226" s="298">
        <v>204</v>
      </c>
      <c r="B226" s="492" t="s">
        <v>152</v>
      </c>
      <c r="C226" s="493"/>
      <c r="D226" s="300">
        <f t="shared" si="19"/>
        <v>167</v>
      </c>
      <c r="E226" s="197">
        <v>33.020000000000003</v>
      </c>
      <c r="F226" s="164">
        <f t="shared" si="18"/>
        <v>32.622</v>
      </c>
      <c r="G226" s="165" t="s">
        <v>8</v>
      </c>
      <c r="H226" s="164">
        <f t="shared" si="17"/>
        <v>6721.7679999999982</v>
      </c>
      <c r="I226" s="165">
        <f t="shared" si="16"/>
        <v>5097.0720000000019</v>
      </c>
      <c r="J226" s="177">
        <f t="shared" si="15"/>
        <v>272.92758061420932</v>
      </c>
      <c r="K226" s="240"/>
      <c r="L226" s="241"/>
    </row>
    <row r="227" spans="1:12">
      <c r="A227" s="298">
        <v>205</v>
      </c>
      <c r="B227" s="492" t="s">
        <v>152</v>
      </c>
      <c r="C227" s="493"/>
      <c r="D227" s="300">
        <f t="shared" si="19"/>
        <v>166</v>
      </c>
      <c r="E227" s="197">
        <v>33.07</v>
      </c>
      <c r="F227" s="164">
        <f t="shared" si="18"/>
        <v>32.671999999999997</v>
      </c>
      <c r="G227" s="165" t="s">
        <v>8</v>
      </c>
      <c r="H227" s="164">
        <f t="shared" si="17"/>
        <v>6754.4399999999978</v>
      </c>
      <c r="I227" s="165">
        <f t="shared" si="16"/>
        <v>5064.4000000000024</v>
      </c>
      <c r="J227" s="177">
        <f t="shared" si="15"/>
        <v>273.63687999999996</v>
      </c>
      <c r="K227" s="240"/>
      <c r="L227" s="241"/>
    </row>
    <row r="228" spans="1:12">
      <c r="A228" s="298">
        <v>206</v>
      </c>
      <c r="B228" s="492" t="s">
        <v>152</v>
      </c>
      <c r="C228" s="493"/>
      <c r="D228" s="300">
        <f t="shared" si="19"/>
        <v>165</v>
      </c>
      <c r="E228" s="197">
        <v>33.44</v>
      </c>
      <c r="F228" s="164">
        <f t="shared" si="18"/>
        <v>33.041999999999994</v>
      </c>
      <c r="G228" s="165" t="s">
        <v>8</v>
      </c>
      <c r="H228" s="164">
        <f t="shared" si="17"/>
        <v>6787.4819999999982</v>
      </c>
      <c r="I228" s="165">
        <f t="shared" si="16"/>
        <v>5031.358000000002</v>
      </c>
      <c r="J228" s="177">
        <f t="shared" si="15"/>
        <v>274.35421197555382</v>
      </c>
      <c r="K228" s="240"/>
      <c r="L228" s="241"/>
    </row>
    <row r="229" spans="1:12">
      <c r="A229" s="298">
        <v>207</v>
      </c>
      <c r="B229" s="492" t="s">
        <v>152</v>
      </c>
      <c r="C229" s="493"/>
      <c r="D229" s="300">
        <f t="shared" si="19"/>
        <v>164</v>
      </c>
      <c r="E229" s="197">
        <v>33.54</v>
      </c>
      <c r="F229" s="164">
        <f t="shared" si="18"/>
        <v>33.141999999999996</v>
      </c>
      <c r="G229" s="165" t="s">
        <v>8</v>
      </c>
      <c r="H229" s="164">
        <f t="shared" si="17"/>
        <v>6820.623999999998</v>
      </c>
      <c r="I229" s="165">
        <f t="shared" si="16"/>
        <v>4998.2160000000022</v>
      </c>
      <c r="J229" s="177">
        <f t="shared" si="15"/>
        <v>275.07371492131392</v>
      </c>
      <c r="K229" s="240"/>
      <c r="L229" s="241"/>
    </row>
    <row r="230" spans="1:12">
      <c r="A230" s="298">
        <v>208</v>
      </c>
      <c r="B230" s="492" t="s">
        <v>152</v>
      </c>
      <c r="C230" s="493"/>
      <c r="D230" s="300">
        <f t="shared" si="19"/>
        <v>163</v>
      </c>
      <c r="E230" s="197">
        <v>33.24</v>
      </c>
      <c r="F230" s="164">
        <f t="shared" si="18"/>
        <v>32.841999999999999</v>
      </c>
      <c r="G230" s="165" t="s">
        <v>8</v>
      </c>
      <c r="H230" s="164">
        <f t="shared" si="17"/>
        <v>6853.4659999999976</v>
      </c>
      <c r="I230" s="165">
        <f t="shared" si="16"/>
        <v>4965.3740000000025</v>
      </c>
      <c r="J230" s="177">
        <f t="shared" si="15"/>
        <v>275.78670495645531</v>
      </c>
      <c r="K230" s="240"/>
      <c r="L230" s="241"/>
    </row>
    <row r="231" spans="1:12">
      <c r="A231" s="298">
        <v>209</v>
      </c>
      <c r="B231" s="492" t="s">
        <v>152</v>
      </c>
      <c r="C231" s="493"/>
      <c r="D231" s="300">
        <f t="shared" si="19"/>
        <v>162</v>
      </c>
      <c r="E231" s="197">
        <v>33.24</v>
      </c>
      <c r="F231" s="164">
        <f t="shared" si="18"/>
        <v>32.841999999999999</v>
      </c>
      <c r="G231" s="165" t="s">
        <v>8</v>
      </c>
      <c r="H231" s="164">
        <f t="shared" si="17"/>
        <v>6886.3079999999973</v>
      </c>
      <c r="I231" s="165">
        <f t="shared" si="16"/>
        <v>4932.5320000000029</v>
      </c>
      <c r="J231" s="177">
        <f t="shared" si="15"/>
        <v>276.49969499159658</v>
      </c>
      <c r="K231" s="240"/>
      <c r="L231" s="241"/>
    </row>
    <row r="232" spans="1:12">
      <c r="A232" s="298">
        <v>210</v>
      </c>
      <c r="B232" s="492" t="s">
        <v>152</v>
      </c>
      <c r="C232" s="493"/>
      <c r="D232" s="300">
        <f t="shared" si="19"/>
        <v>161</v>
      </c>
      <c r="E232" s="197">
        <v>33.159999999999997</v>
      </c>
      <c r="F232" s="164">
        <f t="shared" si="18"/>
        <v>32.761999999999993</v>
      </c>
      <c r="G232" s="165" t="s">
        <v>8</v>
      </c>
      <c r="H232" s="164">
        <f t="shared" si="17"/>
        <v>6919.069999999997</v>
      </c>
      <c r="I232" s="165">
        <f t="shared" si="16"/>
        <v>4899.7700000000032</v>
      </c>
      <c r="J232" s="177">
        <f t="shared" si="15"/>
        <v>277.21094825057287</v>
      </c>
      <c r="K232" s="240"/>
      <c r="L232" s="241"/>
    </row>
    <row r="233" spans="1:12">
      <c r="A233" s="298">
        <v>211</v>
      </c>
      <c r="B233" s="492" t="s">
        <v>152</v>
      </c>
      <c r="C233" s="493"/>
      <c r="D233" s="300">
        <f t="shared" si="19"/>
        <v>160</v>
      </c>
      <c r="E233" s="197">
        <v>33.729999999999997</v>
      </c>
      <c r="F233" s="164">
        <f t="shared" si="18"/>
        <v>33.331999999999994</v>
      </c>
      <c r="G233" s="165" t="s">
        <v>8</v>
      </c>
      <c r="H233" s="164">
        <f t="shared" si="17"/>
        <v>6952.4019999999973</v>
      </c>
      <c r="I233" s="165">
        <f t="shared" si="16"/>
        <v>4866.4380000000028</v>
      </c>
      <c r="J233" s="177">
        <f t="shared" si="15"/>
        <v>277.93457603972496</v>
      </c>
      <c r="K233" s="240"/>
      <c r="L233" s="241"/>
    </row>
    <row r="234" spans="1:12">
      <c r="A234" s="298">
        <v>212</v>
      </c>
      <c r="B234" s="492" t="s">
        <v>152</v>
      </c>
      <c r="C234" s="493"/>
      <c r="D234" s="300">
        <f t="shared" si="19"/>
        <v>159</v>
      </c>
      <c r="E234" s="197">
        <v>33.520000000000003</v>
      </c>
      <c r="F234" s="164">
        <f t="shared" si="18"/>
        <v>33.122</v>
      </c>
      <c r="G234" s="165" t="s">
        <v>8</v>
      </c>
      <c r="H234" s="164">
        <f t="shared" si="17"/>
        <v>6985.5239999999976</v>
      </c>
      <c r="I234" s="165">
        <f t="shared" si="16"/>
        <v>4833.3160000000025</v>
      </c>
      <c r="J234" s="177">
        <f t="shared" si="15"/>
        <v>278.65364479144387</v>
      </c>
      <c r="K234" s="240"/>
      <c r="L234" s="241"/>
    </row>
    <row r="235" spans="1:12">
      <c r="A235" s="298">
        <v>213</v>
      </c>
      <c r="B235" s="492" t="s">
        <v>152</v>
      </c>
      <c r="C235" s="493"/>
      <c r="D235" s="300">
        <f t="shared" si="19"/>
        <v>158</v>
      </c>
      <c r="E235" s="197">
        <v>33.47</v>
      </c>
      <c r="F235" s="164">
        <f t="shared" si="18"/>
        <v>33.071999999999996</v>
      </c>
      <c r="G235" s="165" t="s">
        <v>8</v>
      </c>
      <c r="H235" s="164">
        <f t="shared" si="17"/>
        <v>7018.5959999999977</v>
      </c>
      <c r="I235" s="165">
        <f t="shared" si="16"/>
        <v>4800.2440000000024</v>
      </c>
      <c r="J235" s="177">
        <f t="shared" si="15"/>
        <v>279.37162805805951</v>
      </c>
      <c r="K235" s="240"/>
      <c r="L235" s="241"/>
    </row>
    <row r="236" spans="1:12">
      <c r="A236" s="298">
        <v>214</v>
      </c>
      <c r="B236" s="492" t="s">
        <v>152</v>
      </c>
      <c r="C236" s="493"/>
      <c r="D236" s="300">
        <f t="shared" si="19"/>
        <v>157</v>
      </c>
      <c r="E236" s="197">
        <v>33</v>
      </c>
      <c r="F236" s="164">
        <f t="shared" si="18"/>
        <v>32.601999999999997</v>
      </c>
      <c r="G236" s="165" t="s">
        <v>8</v>
      </c>
      <c r="H236" s="164">
        <f t="shared" si="17"/>
        <v>7051.1979999999976</v>
      </c>
      <c r="I236" s="165">
        <f t="shared" si="16"/>
        <v>4767.6420000000026</v>
      </c>
      <c r="J236" s="177">
        <f t="shared" si="15"/>
        <v>280.07940776470582</v>
      </c>
      <c r="K236" s="240"/>
      <c r="L236" s="241"/>
    </row>
    <row r="237" spans="1:12">
      <c r="A237" s="298">
        <v>215</v>
      </c>
      <c r="B237" s="492" t="s">
        <v>152</v>
      </c>
      <c r="C237" s="493"/>
      <c r="D237" s="300">
        <f t="shared" si="19"/>
        <v>156</v>
      </c>
      <c r="E237" s="197">
        <v>31.86</v>
      </c>
      <c r="F237" s="164">
        <f t="shared" si="18"/>
        <v>31.462</v>
      </c>
      <c r="G237" s="165" t="s">
        <v>8</v>
      </c>
      <c r="H237" s="164">
        <f t="shared" si="17"/>
        <v>7082.659999999998</v>
      </c>
      <c r="I237" s="165">
        <f t="shared" si="16"/>
        <v>4736.1800000000021</v>
      </c>
      <c r="J237" s="177">
        <f t="shared" si="15"/>
        <v>280.76243841100074</v>
      </c>
      <c r="K237" s="240"/>
      <c r="L237" s="241"/>
    </row>
    <row r="238" spans="1:12">
      <c r="A238" s="298">
        <v>216</v>
      </c>
      <c r="B238" s="492" t="s">
        <v>152</v>
      </c>
      <c r="C238" s="493"/>
      <c r="D238" s="300">
        <f t="shared" si="19"/>
        <v>155</v>
      </c>
      <c r="E238" s="197">
        <v>33.590000000000003</v>
      </c>
      <c r="F238" s="164">
        <f t="shared" si="18"/>
        <v>33.192</v>
      </c>
      <c r="G238" s="165" t="s">
        <v>8</v>
      </c>
      <c r="H238" s="164">
        <f t="shared" si="17"/>
        <v>7115.851999999998</v>
      </c>
      <c r="I238" s="165">
        <f t="shared" si="16"/>
        <v>4702.9880000000021</v>
      </c>
      <c r="J238" s="177">
        <f t="shared" si="15"/>
        <v>281.48302684186399</v>
      </c>
      <c r="K238" s="240"/>
      <c r="L238" s="241"/>
    </row>
    <row r="239" spans="1:12">
      <c r="A239" s="298">
        <v>217</v>
      </c>
      <c r="B239" s="492" t="s">
        <v>152</v>
      </c>
      <c r="C239" s="493"/>
      <c r="D239" s="300">
        <f t="shared" si="19"/>
        <v>154</v>
      </c>
      <c r="E239" s="197">
        <v>33.700000000000003</v>
      </c>
      <c r="F239" s="164">
        <f t="shared" si="18"/>
        <v>33.302</v>
      </c>
      <c r="G239" s="165" t="s">
        <v>8</v>
      </c>
      <c r="H239" s="164">
        <f t="shared" si="17"/>
        <v>7149.1539999999977</v>
      </c>
      <c r="I239" s="165">
        <f t="shared" si="16"/>
        <v>4669.6860000000024</v>
      </c>
      <c r="J239" s="177">
        <f t="shared" si="15"/>
        <v>282.20600333995412</v>
      </c>
      <c r="K239" s="240"/>
      <c r="L239" s="241"/>
    </row>
    <row r="240" spans="1:12">
      <c r="A240" s="298">
        <v>218</v>
      </c>
      <c r="B240" s="492" t="s">
        <v>152</v>
      </c>
      <c r="C240" s="493"/>
      <c r="D240" s="300">
        <f t="shared" si="19"/>
        <v>153</v>
      </c>
      <c r="E240" s="197">
        <v>33.549999999999997</v>
      </c>
      <c r="F240" s="164">
        <f t="shared" si="18"/>
        <v>33.151999999999994</v>
      </c>
      <c r="G240" s="165" t="s">
        <v>8</v>
      </c>
      <c r="H240" s="164">
        <f t="shared" si="17"/>
        <v>7182.3059999999978</v>
      </c>
      <c r="I240" s="165">
        <f t="shared" si="16"/>
        <v>4636.5340000000024</v>
      </c>
      <c r="J240" s="177">
        <f t="shared" si="15"/>
        <v>282.92572338273487</v>
      </c>
      <c r="K240" s="240"/>
      <c r="L240" s="241"/>
    </row>
    <row r="241" spans="1:12">
      <c r="A241" s="298">
        <v>219</v>
      </c>
      <c r="B241" s="492" t="s">
        <v>152</v>
      </c>
      <c r="C241" s="493"/>
      <c r="D241" s="300">
        <f t="shared" si="19"/>
        <v>152</v>
      </c>
      <c r="E241" s="197">
        <v>33.700000000000003</v>
      </c>
      <c r="F241" s="164">
        <f t="shared" si="18"/>
        <v>33.302</v>
      </c>
      <c r="G241" s="165" t="s">
        <v>8</v>
      </c>
      <c r="H241" s="164">
        <f t="shared" si="17"/>
        <v>7215.6079999999974</v>
      </c>
      <c r="I241" s="165">
        <f t="shared" si="16"/>
        <v>4603.2320000000027</v>
      </c>
      <c r="J241" s="177">
        <f t="shared" si="15"/>
        <v>283.64869988082501</v>
      </c>
      <c r="K241" s="240"/>
      <c r="L241" s="241"/>
    </row>
    <row r="242" spans="1:12">
      <c r="A242" s="298">
        <v>220</v>
      </c>
      <c r="B242" s="492" t="s">
        <v>152</v>
      </c>
      <c r="C242" s="493"/>
      <c r="D242" s="300">
        <f t="shared" si="19"/>
        <v>151</v>
      </c>
      <c r="E242" s="197">
        <v>33.119999999999997</v>
      </c>
      <c r="F242" s="164">
        <f t="shared" si="18"/>
        <v>32.721999999999994</v>
      </c>
      <c r="G242" s="165" t="s">
        <v>8</v>
      </c>
      <c r="H242" s="164">
        <f t="shared" si="17"/>
        <v>7248.3299999999972</v>
      </c>
      <c r="I242" s="165">
        <f t="shared" si="16"/>
        <v>4570.5100000000029</v>
      </c>
      <c r="J242" s="177">
        <f t="shared" si="15"/>
        <v>284.3590847517188</v>
      </c>
      <c r="K242" s="240"/>
      <c r="L242" s="241"/>
    </row>
    <row r="243" spans="1:12">
      <c r="A243" s="298">
        <v>221</v>
      </c>
      <c r="B243" s="492" t="s">
        <v>152</v>
      </c>
      <c r="C243" s="493"/>
      <c r="D243" s="300">
        <f t="shared" si="19"/>
        <v>150</v>
      </c>
      <c r="E243" s="197">
        <v>32.93</v>
      </c>
      <c r="F243" s="164">
        <f t="shared" si="18"/>
        <v>32.531999999999996</v>
      </c>
      <c r="G243" s="165" t="s">
        <v>8</v>
      </c>
      <c r="H243" s="164">
        <f t="shared" si="17"/>
        <v>7280.8619999999974</v>
      </c>
      <c r="I243" s="165">
        <f t="shared" si="16"/>
        <v>4537.9780000000028</v>
      </c>
      <c r="J243" s="177">
        <f t="shared" si="15"/>
        <v>285.06534477922071</v>
      </c>
      <c r="K243" s="240"/>
      <c r="L243" s="241"/>
    </row>
    <row r="244" spans="1:12">
      <c r="A244" s="298">
        <v>222</v>
      </c>
      <c r="B244" s="492" t="s">
        <v>152</v>
      </c>
      <c r="C244" s="493"/>
      <c r="D244" s="300">
        <f t="shared" si="19"/>
        <v>149</v>
      </c>
      <c r="E244" s="197">
        <v>33.03</v>
      </c>
      <c r="F244" s="164">
        <f t="shared" si="18"/>
        <v>32.631999999999998</v>
      </c>
      <c r="G244" s="165" t="s">
        <v>8</v>
      </c>
      <c r="H244" s="164">
        <f t="shared" si="17"/>
        <v>7313.493999999997</v>
      </c>
      <c r="I244" s="165">
        <f t="shared" si="16"/>
        <v>4505.3460000000032</v>
      </c>
      <c r="J244" s="177">
        <f t="shared" si="15"/>
        <v>285.77377577692891</v>
      </c>
      <c r="K244" s="240"/>
      <c r="L244" s="241"/>
    </row>
    <row r="245" spans="1:12">
      <c r="A245" s="298">
        <v>223</v>
      </c>
      <c r="B245" s="492" t="s">
        <v>152</v>
      </c>
      <c r="C245" s="493"/>
      <c r="D245" s="300">
        <f t="shared" si="19"/>
        <v>148</v>
      </c>
      <c r="E245" s="197">
        <v>32.92</v>
      </c>
      <c r="F245" s="164">
        <f t="shared" si="18"/>
        <v>32.521999999999998</v>
      </c>
      <c r="G245" s="165" t="s">
        <v>8</v>
      </c>
      <c r="H245" s="164">
        <f t="shared" si="17"/>
        <v>7346.0159999999969</v>
      </c>
      <c r="I245" s="165">
        <f t="shared" si="16"/>
        <v>4472.8240000000033</v>
      </c>
      <c r="J245" s="177">
        <f t="shared" si="15"/>
        <v>286.47981870741017</v>
      </c>
      <c r="K245" s="240"/>
      <c r="L245" s="241"/>
    </row>
    <row r="246" spans="1:12">
      <c r="A246" s="298">
        <v>224</v>
      </c>
      <c r="B246" s="492" t="s">
        <v>152</v>
      </c>
      <c r="C246" s="493"/>
      <c r="D246" s="300">
        <f t="shared" si="19"/>
        <v>147</v>
      </c>
      <c r="E246" s="197">
        <v>33</v>
      </c>
      <c r="F246" s="164">
        <f t="shared" si="18"/>
        <v>32.601999999999997</v>
      </c>
      <c r="G246" s="165" t="s">
        <v>8</v>
      </c>
      <c r="H246" s="164">
        <f t="shared" si="17"/>
        <v>7378.6179999999968</v>
      </c>
      <c r="I246" s="165">
        <f t="shared" si="16"/>
        <v>4440.2220000000034</v>
      </c>
      <c r="J246" s="177">
        <f t="shared" si="15"/>
        <v>287.18759841405648</v>
      </c>
      <c r="K246" s="240"/>
      <c r="L246" s="241"/>
    </row>
    <row r="247" spans="1:12">
      <c r="A247" s="298">
        <v>225</v>
      </c>
      <c r="B247" s="492" t="s">
        <v>152</v>
      </c>
      <c r="C247" s="493"/>
      <c r="D247" s="300">
        <f t="shared" si="19"/>
        <v>146</v>
      </c>
      <c r="E247" s="197">
        <v>33.9</v>
      </c>
      <c r="F247" s="164">
        <f t="shared" si="18"/>
        <v>33.501999999999995</v>
      </c>
      <c r="G247" s="165" t="s">
        <v>8</v>
      </c>
      <c r="H247" s="164">
        <f t="shared" si="17"/>
        <v>7412.1199999999972</v>
      </c>
      <c r="I247" s="165">
        <f t="shared" si="16"/>
        <v>4406.720000000003</v>
      </c>
      <c r="J247" s="177">
        <f t="shared" si="15"/>
        <v>287.91491685255914</v>
      </c>
      <c r="K247" s="240"/>
      <c r="L247" s="241"/>
    </row>
    <row r="248" spans="1:12">
      <c r="A248" s="298">
        <v>226</v>
      </c>
      <c r="B248" s="492" t="s">
        <v>152</v>
      </c>
      <c r="C248" s="493"/>
      <c r="D248" s="300">
        <f t="shared" si="19"/>
        <v>145</v>
      </c>
      <c r="E248" s="197">
        <v>33.869999999999997</v>
      </c>
      <c r="F248" s="164">
        <f t="shared" si="18"/>
        <v>33.471999999999994</v>
      </c>
      <c r="G248" s="165" t="s">
        <v>8</v>
      </c>
      <c r="H248" s="164">
        <f t="shared" si="17"/>
        <v>7445.5919999999969</v>
      </c>
      <c r="I248" s="165">
        <f t="shared" si="16"/>
        <v>4373.2480000000032</v>
      </c>
      <c r="J248" s="177">
        <f t="shared" si="15"/>
        <v>288.64158399999997</v>
      </c>
      <c r="K248" s="240"/>
      <c r="L248" s="241"/>
    </row>
    <row r="249" spans="1:12">
      <c r="A249" s="298">
        <v>227</v>
      </c>
      <c r="B249" s="492" t="s">
        <v>152</v>
      </c>
      <c r="C249" s="493"/>
      <c r="D249" s="300">
        <f t="shared" si="19"/>
        <v>144</v>
      </c>
      <c r="E249" s="197">
        <v>33.29</v>
      </c>
      <c r="F249" s="164">
        <f t="shared" si="18"/>
        <v>32.891999999999996</v>
      </c>
      <c r="G249" s="165" t="s">
        <v>8</v>
      </c>
      <c r="H249" s="164">
        <f t="shared" si="17"/>
        <v>7478.4839999999967</v>
      </c>
      <c r="I249" s="165">
        <f t="shared" si="16"/>
        <v>4340.3560000000034</v>
      </c>
      <c r="J249" s="177">
        <f t="shared" si="15"/>
        <v>289.35565952024439</v>
      </c>
      <c r="K249" s="240"/>
      <c r="L249" s="241"/>
    </row>
    <row r="250" spans="1:12">
      <c r="A250" s="298">
        <v>228</v>
      </c>
      <c r="B250" s="492" t="s">
        <v>152</v>
      </c>
      <c r="C250" s="493"/>
      <c r="D250" s="300">
        <f t="shared" si="19"/>
        <v>143</v>
      </c>
      <c r="E250" s="197">
        <v>33.42</v>
      </c>
      <c r="F250" s="164">
        <f t="shared" si="18"/>
        <v>33.021999999999998</v>
      </c>
      <c r="G250" s="165" t="s">
        <v>8</v>
      </c>
      <c r="H250" s="164">
        <f t="shared" si="17"/>
        <v>7511.5059999999967</v>
      </c>
      <c r="I250" s="165">
        <f t="shared" si="16"/>
        <v>4307.3340000000035</v>
      </c>
      <c r="J250" s="177">
        <f t="shared" si="15"/>
        <v>290.072557301757</v>
      </c>
      <c r="K250" s="240"/>
      <c r="L250" s="241"/>
    </row>
    <row r="251" spans="1:12">
      <c r="A251" s="298">
        <v>229</v>
      </c>
      <c r="B251" s="492" t="s">
        <v>152</v>
      </c>
      <c r="C251" s="493"/>
      <c r="D251" s="300">
        <f t="shared" si="19"/>
        <v>142</v>
      </c>
      <c r="E251" s="197">
        <v>33.65</v>
      </c>
      <c r="F251" s="164">
        <f t="shared" si="18"/>
        <v>33.251999999999995</v>
      </c>
      <c r="G251" s="165" t="s">
        <v>8</v>
      </c>
      <c r="H251" s="164">
        <f t="shared" si="17"/>
        <v>7544.7579999999971</v>
      </c>
      <c r="I251" s="165">
        <f t="shared" si="16"/>
        <v>4274.0820000000031</v>
      </c>
      <c r="J251" s="177">
        <f t="shared" si="15"/>
        <v>290.79444831474405</v>
      </c>
      <c r="K251" s="240"/>
      <c r="L251" s="241"/>
    </row>
    <row r="252" spans="1:12">
      <c r="A252" s="298">
        <v>230</v>
      </c>
      <c r="B252" s="492" t="s">
        <v>152</v>
      </c>
      <c r="C252" s="493"/>
      <c r="D252" s="300">
        <f t="shared" si="19"/>
        <v>141</v>
      </c>
      <c r="E252" s="197">
        <v>33.18</v>
      </c>
      <c r="F252" s="164">
        <f t="shared" si="18"/>
        <v>32.781999999999996</v>
      </c>
      <c r="G252" s="165" t="s">
        <v>8</v>
      </c>
      <c r="H252" s="164">
        <f t="shared" si="17"/>
        <v>7577.5399999999972</v>
      </c>
      <c r="I252" s="165">
        <f t="shared" si="16"/>
        <v>4241.3000000000029</v>
      </c>
      <c r="J252" s="177">
        <f t="shared" si="15"/>
        <v>291.50613576776163</v>
      </c>
      <c r="K252" s="240"/>
      <c r="L252" s="241"/>
    </row>
    <row r="253" spans="1:12">
      <c r="A253" s="298">
        <v>231</v>
      </c>
      <c r="B253" s="492" t="s">
        <v>152</v>
      </c>
      <c r="C253" s="493"/>
      <c r="D253" s="300">
        <f t="shared" si="19"/>
        <v>140</v>
      </c>
      <c r="E253" s="197">
        <v>33.880000000000003</v>
      </c>
      <c r="F253" s="164">
        <f t="shared" si="18"/>
        <v>33.481999999999999</v>
      </c>
      <c r="G253" s="165" t="s">
        <v>8</v>
      </c>
      <c r="H253" s="164">
        <f t="shared" si="17"/>
        <v>7611.0219999999972</v>
      </c>
      <c r="I253" s="165">
        <f t="shared" si="16"/>
        <v>4207.8180000000029</v>
      </c>
      <c r="J253" s="177">
        <f t="shared" si="15"/>
        <v>292.23302001222305</v>
      </c>
      <c r="K253" s="240"/>
      <c r="L253" s="241"/>
    </row>
    <row r="254" spans="1:12">
      <c r="A254" s="298">
        <v>232</v>
      </c>
      <c r="B254" s="492" t="s">
        <v>152</v>
      </c>
      <c r="C254" s="493"/>
      <c r="D254" s="300">
        <f t="shared" si="19"/>
        <v>139</v>
      </c>
      <c r="E254" s="197">
        <v>33.56</v>
      </c>
      <c r="F254" s="164">
        <f t="shared" si="18"/>
        <v>33.161999999999999</v>
      </c>
      <c r="G254" s="165" t="s">
        <v>8</v>
      </c>
      <c r="H254" s="164">
        <f t="shared" si="17"/>
        <v>7644.1839999999975</v>
      </c>
      <c r="I254" s="165">
        <f t="shared" si="16"/>
        <v>4174.6560000000027</v>
      </c>
      <c r="J254" s="177">
        <f t="shared" si="15"/>
        <v>292.9529571520244</v>
      </c>
      <c r="K254" s="240"/>
      <c r="L254" s="241"/>
    </row>
    <row r="255" spans="1:12">
      <c r="A255" s="298">
        <v>233</v>
      </c>
      <c r="B255" s="492" t="s">
        <v>152</v>
      </c>
      <c r="C255" s="493"/>
      <c r="D255" s="300">
        <f t="shared" si="19"/>
        <v>138</v>
      </c>
      <c r="E255" s="197">
        <v>33.200000000000003</v>
      </c>
      <c r="F255" s="164">
        <f t="shared" si="18"/>
        <v>32.802</v>
      </c>
      <c r="G255" s="165" t="s">
        <v>8</v>
      </c>
      <c r="H255" s="164">
        <f t="shared" si="17"/>
        <v>7676.9859999999971</v>
      </c>
      <c r="I255" s="165">
        <f t="shared" si="16"/>
        <v>4141.854000000003</v>
      </c>
      <c r="J255" s="177">
        <f t="shared" si="15"/>
        <v>293.66507879908323</v>
      </c>
      <c r="K255" s="240"/>
      <c r="L255" s="241"/>
    </row>
    <row r="256" spans="1:12">
      <c r="A256" s="298">
        <v>234</v>
      </c>
      <c r="B256" s="492" t="s">
        <v>152</v>
      </c>
      <c r="C256" s="493"/>
      <c r="D256" s="300">
        <f t="shared" si="19"/>
        <v>137</v>
      </c>
      <c r="E256" s="197">
        <v>33.56</v>
      </c>
      <c r="F256" s="164">
        <f t="shared" si="18"/>
        <v>33.161999999999999</v>
      </c>
      <c r="G256" s="165" t="s">
        <v>8</v>
      </c>
      <c r="H256" s="164">
        <f t="shared" si="17"/>
        <v>7710.1479999999974</v>
      </c>
      <c r="I256" s="165">
        <f t="shared" si="16"/>
        <v>4108.6920000000027</v>
      </c>
      <c r="J256" s="177">
        <f t="shared" si="15"/>
        <v>294.38501593888464</v>
      </c>
      <c r="K256" s="240"/>
      <c r="L256" s="241"/>
    </row>
    <row r="257" spans="1:12">
      <c r="A257" s="298">
        <v>235</v>
      </c>
      <c r="B257" s="492" t="s">
        <v>152</v>
      </c>
      <c r="C257" s="493"/>
      <c r="D257" s="300">
        <f t="shared" si="19"/>
        <v>136</v>
      </c>
      <c r="E257" s="197">
        <v>33.36</v>
      </c>
      <c r="F257" s="164">
        <f t="shared" si="18"/>
        <v>32.961999999999996</v>
      </c>
      <c r="G257" s="165" t="s">
        <v>8</v>
      </c>
      <c r="H257" s="164">
        <f t="shared" si="17"/>
        <v>7743.1099999999979</v>
      </c>
      <c r="I257" s="165">
        <f t="shared" si="16"/>
        <v>4075.7300000000023</v>
      </c>
      <c r="J257" s="177">
        <f t="shared" si="15"/>
        <v>295.10061113827351</v>
      </c>
      <c r="K257" s="240"/>
      <c r="L257" s="241"/>
    </row>
    <row r="258" spans="1:12">
      <c r="A258" s="298">
        <v>236</v>
      </c>
      <c r="B258" s="492" t="s">
        <v>152</v>
      </c>
      <c r="C258" s="493"/>
      <c r="D258" s="300">
        <f t="shared" si="19"/>
        <v>135</v>
      </c>
      <c r="E258" s="197">
        <v>33.42</v>
      </c>
      <c r="F258" s="164">
        <f t="shared" si="18"/>
        <v>33.021999999999998</v>
      </c>
      <c r="G258" s="165" t="s">
        <v>8</v>
      </c>
      <c r="H258" s="164">
        <f t="shared" si="17"/>
        <v>7776.1319999999978</v>
      </c>
      <c r="I258" s="165">
        <f t="shared" si="16"/>
        <v>4042.7080000000024</v>
      </c>
      <c r="J258" s="177">
        <f t="shared" si="15"/>
        <v>295.81750891978606</v>
      </c>
      <c r="K258" s="240"/>
      <c r="L258" s="241"/>
    </row>
    <row r="259" spans="1:12">
      <c r="A259" s="298">
        <v>237</v>
      </c>
      <c r="B259" s="492" t="s">
        <v>152</v>
      </c>
      <c r="C259" s="493"/>
      <c r="D259" s="300">
        <f t="shared" si="19"/>
        <v>134</v>
      </c>
      <c r="E259" s="197">
        <v>33.93</v>
      </c>
      <c r="F259" s="164">
        <f t="shared" si="18"/>
        <v>33.531999999999996</v>
      </c>
      <c r="G259" s="165" t="s">
        <v>8</v>
      </c>
      <c r="H259" s="164">
        <f t="shared" si="17"/>
        <v>7809.6639999999979</v>
      </c>
      <c r="I259" s="165">
        <f t="shared" si="16"/>
        <v>4009.1760000000022</v>
      </c>
      <c r="J259" s="177">
        <f t="shared" si="15"/>
        <v>296.54547864935057</v>
      </c>
      <c r="K259" s="240"/>
      <c r="L259" s="241"/>
    </row>
    <row r="260" spans="1:12">
      <c r="A260" s="298">
        <v>238</v>
      </c>
      <c r="B260" s="492" t="s">
        <v>152</v>
      </c>
      <c r="C260" s="493"/>
      <c r="D260" s="300">
        <f t="shared" si="19"/>
        <v>133</v>
      </c>
      <c r="E260" s="197">
        <v>33.64</v>
      </c>
      <c r="F260" s="164">
        <f t="shared" si="18"/>
        <v>33.241999999999997</v>
      </c>
      <c r="G260" s="165" t="s">
        <v>8</v>
      </c>
      <c r="H260" s="164">
        <f t="shared" si="17"/>
        <v>7842.9059999999981</v>
      </c>
      <c r="I260" s="165">
        <f t="shared" si="16"/>
        <v>3975.934000000002</v>
      </c>
      <c r="J260" s="177">
        <f t="shared" si="15"/>
        <v>297.26715256531702</v>
      </c>
      <c r="K260" s="240"/>
      <c r="L260" s="241"/>
    </row>
    <row r="261" spans="1:12">
      <c r="A261" s="298">
        <v>239</v>
      </c>
      <c r="B261" s="492" t="s">
        <v>152</v>
      </c>
      <c r="C261" s="493"/>
      <c r="D261" s="300">
        <f t="shared" si="19"/>
        <v>132</v>
      </c>
      <c r="E261" s="197">
        <v>33.130000000000003</v>
      </c>
      <c r="F261" s="164">
        <f t="shared" si="18"/>
        <v>32.731999999999999</v>
      </c>
      <c r="G261" s="165" t="s">
        <v>8</v>
      </c>
      <c r="H261" s="164">
        <f t="shared" si="17"/>
        <v>7875.6379999999981</v>
      </c>
      <c r="I261" s="165">
        <f t="shared" si="16"/>
        <v>3943.202000000002</v>
      </c>
      <c r="J261" s="177">
        <f t="shared" si="15"/>
        <v>297.97775453323146</v>
      </c>
      <c r="K261" s="240"/>
      <c r="L261" s="241"/>
    </row>
    <row r="262" spans="1:12">
      <c r="A262" s="298">
        <v>240</v>
      </c>
      <c r="B262" s="492" t="s">
        <v>152</v>
      </c>
      <c r="C262" s="493"/>
      <c r="D262" s="300">
        <f t="shared" si="19"/>
        <v>131</v>
      </c>
      <c r="E262" s="197">
        <v>33.159999999999997</v>
      </c>
      <c r="F262" s="164">
        <f t="shared" si="18"/>
        <v>32.761999999999993</v>
      </c>
      <c r="G262" s="165" t="s">
        <v>8</v>
      </c>
      <c r="H262" s="164">
        <f t="shared" si="17"/>
        <v>7908.3999999999978</v>
      </c>
      <c r="I262" s="165">
        <f t="shared" si="16"/>
        <v>3910.4400000000023</v>
      </c>
      <c r="J262" s="177">
        <f t="shared" si="15"/>
        <v>298.6890077922078</v>
      </c>
      <c r="K262" s="240"/>
      <c r="L262" s="241"/>
    </row>
    <row r="263" spans="1:12">
      <c r="A263" s="298">
        <v>241</v>
      </c>
      <c r="B263" s="492" t="s">
        <v>152</v>
      </c>
      <c r="C263" s="493"/>
      <c r="D263" s="300">
        <f t="shared" si="19"/>
        <v>130</v>
      </c>
      <c r="E263" s="197">
        <v>33.909999999999997</v>
      </c>
      <c r="F263" s="164">
        <f t="shared" si="18"/>
        <v>33.511999999999993</v>
      </c>
      <c r="G263" s="165" t="s">
        <v>8</v>
      </c>
      <c r="H263" s="164">
        <f t="shared" si="17"/>
        <v>7941.9119999999975</v>
      </c>
      <c r="I263" s="165">
        <f t="shared" si="16"/>
        <v>3876.9280000000026</v>
      </c>
      <c r="J263" s="177">
        <f t="shared" si="15"/>
        <v>299.41654332773106</v>
      </c>
      <c r="K263" s="240"/>
      <c r="L263" s="241"/>
    </row>
    <row r="264" spans="1:12">
      <c r="A264" s="298">
        <v>242</v>
      </c>
      <c r="B264" s="492" t="s">
        <v>152</v>
      </c>
      <c r="C264" s="493"/>
      <c r="D264" s="300">
        <f t="shared" si="19"/>
        <v>129</v>
      </c>
      <c r="E264" s="197">
        <v>33.76</v>
      </c>
      <c r="F264" s="164">
        <f t="shared" si="18"/>
        <v>33.361999999999995</v>
      </c>
      <c r="G264" s="165" t="s">
        <v>8</v>
      </c>
      <c r="H264" s="164">
        <f t="shared" si="17"/>
        <v>7975.2739999999976</v>
      </c>
      <c r="I264" s="165">
        <f t="shared" si="16"/>
        <v>3843.5660000000025</v>
      </c>
      <c r="J264" s="177">
        <f t="shared" si="15"/>
        <v>300.14082240794494</v>
      </c>
      <c r="K264" s="240"/>
      <c r="L264" s="241"/>
    </row>
    <row r="265" spans="1:12">
      <c r="A265" s="298">
        <v>243</v>
      </c>
      <c r="B265" s="492" t="s">
        <v>152</v>
      </c>
      <c r="C265" s="493"/>
      <c r="D265" s="300">
        <f t="shared" si="19"/>
        <v>128</v>
      </c>
      <c r="E265" s="197">
        <v>33.340000000000003</v>
      </c>
      <c r="F265" s="164">
        <f t="shared" si="18"/>
        <v>32.942</v>
      </c>
      <c r="G265" s="165" t="s">
        <v>8</v>
      </c>
      <c r="H265" s="164">
        <f t="shared" si="17"/>
        <v>8008.2159999999976</v>
      </c>
      <c r="I265" s="165">
        <f t="shared" si="16"/>
        <v>3810.6240000000025</v>
      </c>
      <c r="J265" s="177">
        <f t="shared" si="15"/>
        <v>300.85598341329256</v>
      </c>
      <c r="K265" s="240"/>
      <c r="L265" s="241"/>
    </row>
    <row r="266" spans="1:12">
      <c r="A266" s="298">
        <v>244</v>
      </c>
      <c r="B266" s="492" t="s">
        <v>152</v>
      </c>
      <c r="C266" s="493"/>
      <c r="D266" s="300">
        <f t="shared" si="19"/>
        <v>127</v>
      </c>
      <c r="E266" s="197">
        <v>33.49</v>
      </c>
      <c r="F266" s="164">
        <f t="shared" si="18"/>
        <v>33.091999999999999</v>
      </c>
      <c r="G266" s="165" t="s">
        <v>8</v>
      </c>
      <c r="H266" s="164">
        <f t="shared" si="17"/>
        <v>8041.3079999999973</v>
      </c>
      <c r="I266" s="165">
        <f t="shared" si="16"/>
        <v>3777.5320000000029</v>
      </c>
      <c r="J266" s="177">
        <f t="shared" si="15"/>
        <v>301.57440087394951</v>
      </c>
      <c r="K266" s="240"/>
      <c r="L266" s="241"/>
    </row>
    <row r="267" spans="1:12">
      <c r="A267" s="298">
        <v>245</v>
      </c>
      <c r="B267" s="492" t="s">
        <v>152</v>
      </c>
      <c r="C267" s="493"/>
      <c r="D267" s="300">
        <f t="shared" si="19"/>
        <v>126</v>
      </c>
      <c r="E267" s="197">
        <v>32.049999999999997</v>
      </c>
      <c r="F267" s="164">
        <f t="shared" si="18"/>
        <v>31.651999999999997</v>
      </c>
      <c r="G267" s="165" t="s">
        <v>8</v>
      </c>
      <c r="H267" s="164">
        <f t="shared" si="17"/>
        <v>8072.9599999999973</v>
      </c>
      <c r="I267" s="165">
        <f t="shared" si="16"/>
        <v>3745.8800000000028</v>
      </c>
      <c r="J267" s="177">
        <f t="shared" si="15"/>
        <v>302.26155636363637</v>
      </c>
      <c r="K267" s="240"/>
      <c r="L267" s="241"/>
    </row>
    <row r="268" spans="1:12">
      <c r="A268" s="298">
        <v>246</v>
      </c>
      <c r="B268" s="492" t="s">
        <v>152</v>
      </c>
      <c r="C268" s="493"/>
      <c r="D268" s="300">
        <f t="shared" si="19"/>
        <v>125</v>
      </c>
      <c r="E268" s="197">
        <v>33.659999999999997</v>
      </c>
      <c r="F268" s="164">
        <f t="shared" si="18"/>
        <v>33.261999999999993</v>
      </c>
      <c r="G268" s="165" t="s">
        <v>8</v>
      </c>
      <c r="H268" s="164">
        <f t="shared" si="17"/>
        <v>8106.221999999997</v>
      </c>
      <c r="I268" s="165">
        <f t="shared" si="16"/>
        <v>3712.6180000000031</v>
      </c>
      <c r="J268" s="177">
        <f t="shared" si="15"/>
        <v>302.98366447364396</v>
      </c>
      <c r="K268" s="240"/>
      <c r="L268" s="241"/>
    </row>
    <row r="269" spans="1:12">
      <c r="A269" s="298">
        <v>247</v>
      </c>
      <c r="B269" s="492" t="s">
        <v>152</v>
      </c>
      <c r="C269" s="493"/>
      <c r="D269" s="300">
        <f t="shared" si="19"/>
        <v>124</v>
      </c>
      <c r="E269" s="197">
        <v>33.200000000000003</v>
      </c>
      <c r="F269" s="164">
        <f t="shared" si="18"/>
        <v>32.802</v>
      </c>
      <c r="G269" s="165" t="s">
        <v>8</v>
      </c>
      <c r="H269" s="164">
        <f t="shared" si="17"/>
        <v>8139.0239999999967</v>
      </c>
      <c r="I269" s="165">
        <f t="shared" si="16"/>
        <v>3679.8160000000034</v>
      </c>
      <c r="J269" s="177">
        <f t="shared" si="15"/>
        <v>303.69578612070279</v>
      </c>
      <c r="K269" s="240"/>
      <c r="L269" s="241"/>
    </row>
    <row r="270" spans="1:12">
      <c r="A270" s="298">
        <v>248</v>
      </c>
      <c r="B270" s="492" t="s">
        <v>152</v>
      </c>
      <c r="C270" s="493"/>
      <c r="D270" s="300">
        <f t="shared" si="19"/>
        <v>123</v>
      </c>
      <c r="E270" s="197">
        <v>33.119999999999997</v>
      </c>
      <c r="F270" s="164">
        <f t="shared" si="18"/>
        <v>32.721999999999994</v>
      </c>
      <c r="G270" s="165" t="s">
        <v>8</v>
      </c>
      <c r="H270" s="164">
        <f t="shared" si="17"/>
        <v>8171.7459999999965</v>
      </c>
      <c r="I270" s="165">
        <f t="shared" si="16"/>
        <v>3647.0940000000037</v>
      </c>
      <c r="J270" s="177">
        <f t="shared" ref="J270:J333" si="20">$G$7+(H270*$C$8*$G$10/1000)</f>
        <v>304.40617099159658</v>
      </c>
      <c r="K270" s="240"/>
      <c r="L270" s="241"/>
    </row>
    <row r="271" spans="1:12">
      <c r="A271" s="298">
        <v>249</v>
      </c>
      <c r="B271" s="492" t="s">
        <v>152</v>
      </c>
      <c r="C271" s="493"/>
      <c r="D271" s="300">
        <f t="shared" si="19"/>
        <v>122</v>
      </c>
      <c r="E271" s="197">
        <v>33.58</v>
      </c>
      <c r="F271" s="164">
        <f t="shared" si="18"/>
        <v>33.181999999999995</v>
      </c>
      <c r="G271" s="165" t="s">
        <v>8</v>
      </c>
      <c r="H271" s="164">
        <f t="shared" si="17"/>
        <v>8204.9279999999962</v>
      </c>
      <c r="I271" s="165">
        <f t="shared" ref="I271:I342" si="21">IF(H271="","",$K$6-H271)</f>
        <v>3613.9120000000039</v>
      </c>
      <c r="J271" s="177">
        <f t="shared" si="20"/>
        <v>305.12654232543923</v>
      </c>
      <c r="K271" s="240"/>
      <c r="L271" s="241"/>
    </row>
    <row r="272" spans="1:12">
      <c r="A272" s="298">
        <v>250</v>
      </c>
      <c r="B272" s="492" t="s">
        <v>152</v>
      </c>
      <c r="C272" s="493"/>
      <c r="D272" s="300">
        <f t="shared" si="19"/>
        <v>121</v>
      </c>
      <c r="E272" s="197">
        <v>32.880000000000003</v>
      </c>
      <c r="F272" s="164">
        <f t="shared" si="18"/>
        <v>32.481999999999999</v>
      </c>
      <c r="G272" s="165" t="s">
        <v>8</v>
      </c>
      <c r="H272" s="164">
        <f t="shared" si="17"/>
        <v>8237.4099999999962</v>
      </c>
      <c r="I272" s="165">
        <f t="shared" si="21"/>
        <v>3581.4300000000039</v>
      </c>
      <c r="J272" s="177">
        <f t="shared" si="20"/>
        <v>305.831716867838</v>
      </c>
      <c r="K272" s="240"/>
      <c r="L272" s="241"/>
    </row>
    <row r="273" spans="1:12">
      <c r="A273" s="298">
        <v>251</v>
      </c>
      <c r="B273" s="492" t="s">
        <v>152</v>
      </c>
      <c r="C273" s="493"/>
      <c r="D273" s="300">
        <f t="shared" si="19"/>
        <v>120</v>
      </c>
      <c r="E273" s="197">
        <v>32.74</v>
      </c>
      <c r="F273" s="164">
        <f t="shared" si="18"/>
        <v>32.341999999999999</v>
      </c>
      <c r="G273" s="165" t="s">
        <v>8</v>
      </c>
      <c r="H273" s="164">
        <f t="shared" si="17"/>
        <v>8269.7519999999968</v>
      </c>
      <c r="I273" s="165">
        <f t="shared" si="21"/>
        <v>3549.0880000000034</v>
      </c>
      <c r="J273" s="177">
        <f t="shared" si="20"/>
        <v>306.53385205194797</v>
      </c>
      <c r="K273" s="240"/>
      <c r="L273" s="241"/>
    </row>
    <row r="274" spans="1:12">
      <c r="A274" s="298">
        <v>252</v>
      </c>
      <c r="B274" s="492" t="s">
        <v>152</v>
      </c>
      <c r="C274" s="493"/>
      <c r="D274" s="300">
        <f t="shared" si="19"/>
        <v>119</v>
      </c>
      <c r="E274" s="197">
        <v>31.4</v>
      </c>
      <c r="F274" s="164">
        <f t="shared" si="18"/>
        <v>31.001999999999999</v>
      </c>
      <c r="G274" s="165" t="s">
        <v>8</v>
      </c>
      <c r="H274" s="164">
        <f t="shared" ref="H274:H341" si="22">IF(G274="IN",H273+F274,H273)</f>
        <v>8300.7539999999972</v>
      </c>
      <c r="I274" s="165">
        <f t="shared" si="21"/>
        <v>3518.086000000003</v>
      </c>
      <c r="J274" s="177">
        <f t="shared" si="20"/>
        <v>307.2068962352941</v>
      </c>
      <c r="K274" s="240"/>
      <c r="L274" s="241"/>
    </row>
    <row r="275" spans="1:12">
      <c r="A275" s="298">
        <v>253</v>
      </c>
      <c r="B275" s="492" t="s">
        <v>152</v>
      </c>
      <c r="C275" s="493"/>
      <c r="D275" s="300">
        <f t="shared" si="19"/>
        <v>118</v>
      </c>
      <c r="E275" s="197">
        <v>33.799999999999997</v>
      </c>
      <c r="F275" s="164">
        <f t="shared" si="18"/>
        <v>33.401999999999994</v>
      </c>
      <c r="G275" s="165" t="s">
        <v>8</v>
      </c>
      <c r="H275" s="164">
        <f t="shared" si="22"/>
        <v>8334.1559999999972</v>
      </c>
      <c r="I275" s="165">
        <f t="shared" si="21"/>
        <v>3484.6840000000029</v>
      </c>
      <c r="J275" s="177">
        <f t="shared" si="20"/>
        <v>307.93204370359047</v>
      </c>
      <c r="K275" s="240"/>
      <c r="L275" s="241"/>
    </row>
    <row r="276" spans="1:12">
      <c r="A276" s="298">
        <v>254</v>
      </c>
      <c r="B276" s="492" t="s">
        <v>152</v>
      </c>
      <c r="C276" s="493"/>
      <c r="D276" s="300">
        <f t="shared" si="19"/>
        <v>117</v>
      </c>
      <c r="E276" s="197">
        <v>33.700000000000003</v>
      </c>
      <c r="F276" s="164">
        <f t="shared" si="18"/>
        <v>33.302</v>
      </c>
      <c r="G276" s="165" t="s">
        <v>8</v>
      </c>
      <c r="H276" s="164">
        <f t="shared" si="22"/>
        <v>8367.4579999999969</v>
      </c>
      <c r="I276" s="165">
        <f t="shared" si="21"/>
        <v>3451.3820000000032</v>
      </c>
      <c r="J276" s="177">
        <f t="shared" si="20"/>
        <v>308.6550202016806</v>
      </c>
      <c r="K276" s="240"/>
      <c r="L276" s="241"/>
    </row>
    <row r="277" spans="1:12">
      <c r="A277" s="298">
        <v>255</v>
      </c>
      <c r="B277" s="492" t="s">
        <v>152</v>
      </c>
      <c r="C277" s="493"/>
      <c r="D277" s="300">
        <f t="shared" si="19"/>
        <v>116</v>
      </c>
      <c r="E277" s="197">
        <v>33.44</v>
      </c>
      <c r="F277" s="164">
        <f t="shared" si="18"/>
        <v>33.041999999999994</v>
      </c>
      <c r="G277" s="165" t="s">
        <v>8</v>
      </c>
      <c r="H277" s="164">
        <f t="shared" si="22"/>
        <v>8400.4999999999964</v>
      </c>
      <c r="I277" s="165">
        <f t="shared" si="21"/>
        <v>3418.3400000000038</v>
      </c>
      <c r="J277" s="177">
        <f t="shared" si="20"/>
        <v>309.37235217723446</v>
      </c>
      <c r="K277" s="240"/>
      <c r="L277" s="241"/>
    </row>
    <row r="278" spans="1:12">
      <c r="A278" s="298">
        <v>256</v>
      </c>
      <c r="B278" s="492" t="s">
        <v>152</v>
      </c>
      <c r="C278" s="493"/>
      <c r="D278" s="300">
        <f t="shared" si="19"/>
        <v>115</v>
      </c>
      <c r="E278" s="197">
        <v>33.6</v>
      </c>
      <c r="F278" s="164">
        <f t="shared" si="18"/>
        <v>33.201999999999998</v>
      </c>
      <c r="G278" s="165" t="s">
        <v>8</v>
      </c>
      <c r="H278" s="164">
        <f t="shared" si="22"/>
        <v>8433.7019999999957</v>
      </c>
      <c r="I278" s="165">
        <f t="shared" si="21"/>
        <v>3385.1380000000045</v>
      </c>
      <c r="J278" s="177">
        <f t="shared" si="20"/>
        <v>310.09315770511836</v>
      </c>
      <c r="K278" s="240"/>
      <c r="L278" s="241"/>
    </row>
    <row r="279" spans="1:12">
      <c r="A279" s="298">
        <v>257</v>
      </c>
      <c r="B279" s="492" t="s">
        <v>152</v>
      </c>
      <c r="C279" s="493"/>
      <c r="D279" s="300">
        <f t="shared" si="19"/>
        <v>114</v>
      </c>
      <c r="E279" s="197">
        <v>33.75</v>
      </c>
      <c r="F279" s="164">
        <f t="shared" ref="F279:F341" si="23">E279-($C$10)</f>
        <v>33.351999999999997</v>
      </c>
      <c r="G279" s="165" t="s">
        <v>8</v>
      </c>
      <c r="H279" s="164">
        <f t="shared" si="22"/>
        <v>8467.0539999999964</v>
      </c>
      <c r="I279" s="165">
        <f t="shared" si="21"/>
        <v>3351.7860000000037</v>
      </c>
      <c r="J279" s="177">
        <f t="shared" si="20"/>
        <v>310.81721968831164</v>
      </c>
      <c r="K279" s="240"/>
      <c r="L279" s="241"/>
    </row>
    <row r="280" spans="1:12">
      <c r="A280" s="298">
        <v>258</v>
      </c>
      <c r="B280" s="492" t="s">
        <v>152</v>
      </c>
      <c r="C280" s="493"/>
      <c r="D280" s="300">
        <f t="shared" si="19"/>
        <v>113</v>
      </c>
      <c r="E280" s="197">
        <v>33.72</v>
      </c>
      <c r="F280" s="164">
        <f t="shared" si="23"/>
        <v>33.321999999999996</v>
      </c>
      <c r="G280" s="165" t="s">
        <v>8</v>
      </c>
      <c r="H280" s="164">
        <f t="shared" si="22"/>
        <v>8500.3759999999966</v>
      </c>
      <c r="I280" s="165">
        <f t="shared" si="21"/>
        <v>3318.4640000000036</v>
      </c>
      <c r="J280" s="177">
        <f t="shared" si="20"/>
        <v>311.54063038044308</v>
      </c>
      <c r="K280" s="518"/>
      <c r="L280" s="519"/>
    </row>
    <row r="281" spans="1:12">
      <c r="A281" s="298">
        <v>259</v>
      </c>
      <c r="B281" s="492" t="s">
        <v>152</v>
      </c>
      <c r="C281" s="493"/>
      <c r="D281" s="300">
        <f t="shared" ref="D281:D341" si="24">D280-1</f>
        <v>112</v>
      </c>
      <c r="E281" s="197">
        <v>33.520000000000003</v>
      </c>
      <c r="F281" s="164">
        <f t="shared" si="23"/>
        <v>33.122</v>
      </c>
      <c r="G281" s="165" t="s">
        <v>8</v>
      </c>
      <c r="H281" s="164">
        <f t="shared" si="22"/>
        <v>8533.497999999996</v>
      </c>
      <c r="I281" s="165">
        <f t="shared" si="21"/>
        <v>3285.3420000000042</v>
      </c>
      <c r="J281" s="177">
        <f t="shared" si="20"/>
        <v>312.25969913216187</v>
      </c>
      <c r="K281" s="518"/>
      <c r="L281" s="519"/>
    </row>
    <row r="282" spans="1:12">
      <c r="A282" s="298">
        <v>260</v>
      </c>
      <c r="B282" s="492" t="s">
        <v>152</v>
      </c>
      <c r="C282" s="493"/>
      <c r="D282" s="300">
        <f t="shared" si="24"/>
        <v>111</v>
      </c>
      <c r="E282" s="197">
        <v>33.880000000000003</v>
      </c>
      <c r="F282" s="164">
        <f t="shared" si="23"/>
        <v>33.481999999999999</v>
      </c>
      <c r="G282" s="165" t="s">
        <v>8</v>
      </c>
      <c r="H282" s="164">
        <f t="shared" si="22"/>
        <v>8566.9799999999959</v>
      </c>
      <c r="I282" s="165">
        <f t="shared" si="21"/>
        <v>3251.8600000000042</v>
      </c>
      <c r="J282" s="177">
        <f t="shared" si="20"/>
        <v>312.98658337662334</v>
      </c>
      <c r="K282" s="518"/>
      <c r="L282" s="519"/>
    </row>
    <row r="283" spans="1:12">
      <c r="A283" s="298">
        <v>261</v>
      </c>
      <c r="B283" s="492" t="s">
        <v>152</v>
      </c>
      <c r="C283" s="493"/>
      <c r="D283" s="300">
        <f t="shared" si="24"/>
        <v>110</v>
      </c>
      <c r="E283" s="197">
        <v>33.61</v>
      </c>
      <c r="F283" s="164">
        <f t="shared" si="23"/>
        <v>33.211999999999996</v>
      </c>
      <c r="G283" s="165" t="s">
        <v>8</v>
      </c>
      <c r="H283" s="164">
        <f t="shared" si="22"/>
        <v>8600.1919999999955</v>
      </c>
      <c r="I283" s="165">
        <f t="shared" si="21"/>
        <v>3218.6480000000047</v>
      </c>
      <c r="J283" s="177">
        <f t="shared" si="20"/>
        <v>313.70760600152778</v>
      </c>
      <c r="K283" s="518"/>
      <c r="L283" s="519"/>
    </row>
    <row r="284" spans="1:12">
      <c r="A284" s="298">
        <v>262</v>
      </c>
      <c r="B284" s="492" t="s">
        <v>152</v>
      </c>
      <c r="C284" s="493"/>
      <c r="D284" s="300">
        <f t="shared" si="24"/>
        <v>109</v>
      </c>
      <c r="E284" s="197">
        <v>33.450000000000003</v>
      </c>
      <c r="F284" s="164">
        <f t="shared" si="23"/>
        <v>33.052</v>
      </c>
      <c r="G284" s="165" t="s">
        <v>8</v>
      </c>
      <c r="H284" s="164">
        <f t="shared" si="22"/>
        <v>8633.2439999999951</v>
      </c>
      <c r="I284" s="165">
        <f t="shared" si="21"/>
        <v>3185.596000000005</v>
      </c>
      <c r="J284" s="177">
        <f t="shared" si="20"/>
        <v>314.42515507410229</v>
      </c>
      <c r="K284" s="518"/>
      <c r="L284" s="519"/>
    </row>
    <row r="285" spans="1:12">
      <c r="A285" s="298">
        <v>263</v>
      </c>
      <c r="B285" s="492" t="s">
        <v>152</v>
      </c>
      <c r="C285" s="493"/>
      <c r="D285" s="300">
        <f t="shared" si="24"/>
        <v>108</v>
      </c>
      <c r="E285" s="197">
        <v>33.71</v>
      </c>
      <c r="F285" s="164">
        <f t="shared" si="23"/>
        <v>33.311999999999998</v>
      </c>
      <c r="G285" s="165" t="s">
        <v>8</v>
      </c>
      <c r="H285" s="164">
        <f t="shared" si="22"/>
        <v>8666.555999999995</v>
      </c>
      <c r="I285" s="165">
        <f t="shared" si="21"/>
        <v>3152.2840000000051</v>
      </c>
      <c r="J285" s="177">
        <f t="shared" si="20"/>
        <v>315.14834866921308</v>
      </c>
      <c r="K285" s="518"/>
      <c r="L285" s="519"/>
    </row>
    <row r="286" spans="1:12">
      <c r="A286" s="298">
        <v>264</v>
      </c>
      <c r="B286" s="492" t="s">
        <v>152</v>
      </c>
      <c r="C286" s="493"/>
      <c r="D286" s="300">
        <f t="shared" si="24"/>
        <v>107</v>
      </c>
      <c r="E286" s="197">
        <v>33.5</v>
      </c>
      <c r="F286" s="164">
        <f t="shared" si="23"/>
        <v>33.101999999999997</v>
      </c>
      <c r="G286" s="165" t="s">
        <v>8</v>
      </c>
      <c r="H286" s="164">
        <f t="shared" si="22"/>
        <v>8699.6579999999958</v>
      </c>
      <c r="I286" s="165">
        <f t="shared" si="21"/>
        <v>3119.1820000000043</v>
      </c>
      <c r="J286" s="177">
        <f t="shared" si="20"/>
        <v>315.86698322689068</v>
      </c>
      <c r="K286" s="518"/>
      <c r="L286" s="519"/>
    </row>
    <row r="287" spans="1:12">
      <c r="A287" s="298">
        <v>265</v>
      </c>
      <c r="B287" s="492" t="s">
        <v>152</v>
      </c>
      <c r="C287" s="493"/>
      <c r="D287" s="300">
        <f t="shared" si="24"/>
        <v>106</v>
      </c>
      <c r="E287" s="197">
        <v>33.83</v>
      </c>
      <c r="F287" s="164">
        <f t="shared" si="23"/>
        <v>33.431999999999995</v>
      </c>
      <c r="G287" s="165" t="s">
        <v>8</v>
      </c>
      <c r="H287" s="164">
        <f t="shared" si="22"/>
        <v>8733.0899999999965</v>
      </c>
      <c r="I287" s="165">
        <f t="shared" si="21"/>
        <v>3085.7500000000036</v>
      </c>
      <c r="J287" s="177">
        <f t="shared" si="20"/>
        <v>316.59278198624901</v>
      </c>
      <c r="L287" s="158"/>
    </row>
    <row r="288" spans="1:12">
      <c r="A288" s="298">
        <v>266</v>
      </c>
      <c r="B288" s="492" t="s">
        <v>152</v>
      </c>
      <c r="C288" s="493"/>
      <c r="D288" s="300">
        <f t="shared" si="24"/>
        <v>105</v>
      </c>
      <c r="E288" s="197">
        <v>33.74</v>
      </c>
      <c r="F288" s="164">
        <f t="shared" si="23"/>
        <v>33.341999999999999</v>
      </c>
      <c r="G288" s="165" t="s">
        <v>8</v>
      </c>
      <c r="H288" s="164">
        <f t="shared" si="22"/>
        <v>8766.4319999999971</v>
      </c>
      <c r="I288" s="165">
        <f t="shared" si="21"/>
        <v>3052.4080000000031</v>
      </c>
      <c r="J288" s="177">
        <f t="shared" si="20"/>
        <v>317.31662687242164</v>
      </c>
      <c r="K288" s="518"/>
      <c r="L288" s="519"/>
    </row>
    <row r="289" spans="1:12">
      <c r="A289" s="298">
        <v>267</v>
      </c>
      <c r="B289" s="492" t="s">
        <v>152</v>
      </c>
      <c r="C289" s="493"/>
      <c r="D289" s="300">
        <f t="shared" si="24"/>
        <v>104</v>
      </c>
      <c r="E289" s="197">
        <v>33.61</v>
      </c>
      <c r="F289" s="164">
        <f t="shared" si="23"/>
        <v>33.211999999999996</v>
      </c>
      <c r="G289" s="165" t="s">
        <v>8</v>
      </c>
      <c r="H289" s="164">
        <f t="shared" si="22"/>
        <v>8799.6439999999966</v>
      </c>
      <c r="I289" s="165">
        <f t="shared" si="21"/>
        <v>3019.1960000000036</v>
      </c>
      <c r="J289" s="177">
        <f t="shared" si="20"/>
        <v>318.03764949732619</v>
      </c>
      <c r="K289" s="518"/>
      <c r="L289" s="519"/>
    </row>
    <row r="290" spans="1:12">
      <c r="A290" s="298">
        <v>268</v>
      </c>
      <c r="B290" s="492" t="s">
        <v>152</v>
      </c>
      <c r="C290" s="493"/>
      <c r="D290" s="300">
        <f t="shared" si="24"/>
        <v>103</v>
      </c>
      <c r="E290" s="197">
        <v>33.68</v>
      </c>
      <c r="F290" s="164">
        <f t="shared" si="23"/>
        <v>33.281999999999996</v>
      </c>
      <c r="G290" s="165" t="s">
        <v>8</v>
      </c>
      <c r="H290" s="164">
        <f t="shared" si="22"/>
        <v>8832.9259999999958</v>
      </c>
      <c r="I290" s="165">
        <f t="shared" si="21"/>
        <v>2985.9140000000043</v>
      </c>
      <c r="J290" s="177">
        <f t="shared" si="20"/>
        <v>318.76019180137502</v>
      </c>
      <c r="K290" s="518"/>
      <c r="L290" s="519"/>
    </row>
    <row r="291" spans="1:12">
      <c r="A291" s="298">
        <v>269</v>
      </c>
      <c r="B291" s="492" t="s">
        <v>152</v>
      </c>
      <c r="C291" s="493"/>
      <c r="D291" s="300">
        <f t="shared" si="24"/>
        <v>102</v>
      </c>
      <c r="E291" s="197">
        <v>33.39</v>
      </c>
      <c r="F291" s="164">
        <f t="shared" si="23"/>
        <v>32.991999999999997</v>
      </c>
      <c r="G291" s="165" t="s">
        <v>8</v>
      </c>
      <c r="H291" s="164">
        <f t="shared" si="22"/>
        <v>8865.917999999996</v>
      </c>
      <c r="I291" s="165">
        <f t="shared" si="21"/>
        <v>2952.9220000000041</v>
      </c>
      <c r="J291" s="177">
        <f t="shared" si="20"/>
        <v>319.47643829182573</v>
      </c>
      <c r="K291" s="518"/>
      <c r="L291" s="519"/>
    </row>
    <row r="292" spans="1:12">
      <c r="A292" s="298">
        <v>270</v>
      </c>
      <c r="B292" s="492" t="s">
        <v>152</v>
      </c>
      <c r="C292" s="493"/>
      <c r="D292" s="300">
        <f t="shared" si="24"/>
        <v>101</v>
      </c>
      <c r="E292" s="197">
        <v>33.44</v>
      </c>
      <c r="F292" s="164">
        <f t="shared" si="23"/>
        <v>33.041999999999994</v>
      </c>
      <c r="G292" s="165" t="s">
        <v>8</v>
      </c>
      <c r="H292" s="164">
        <f t="shared" si="22"/>
        <v>8898.9599999999955</v>
      </c>
      <c r="I292" s="165">
        <f t="shared" si="21"/>
        <v>2919.8800000000047</v>
      </c>
      <c r="J292" s="177">
        <f t="shared" si="20"/>
        <v>320.19377026737959</v>
      </c>
      <c r="K292" s="518"/>
      <c r="L292" s="519"/>
    </row>
    <row r="293" spans="1:12">
      <c r="A293" s="298">
        <v>271</v>
      </c>
      <c r="B293" s="492" t="s">
        <v>152</v>
      </c>
      <c r="C293" s="493"/>
      <c r="D293" s="300">
        <f t="shared" si="24"/>
        <v>100</v>
      </c>
      <c r="E293" s="197">
        <v>33.5</v>
      </c>
      <c r="F293" s="164">
        <f t="shared" si="23"/>
        <v>33.101999999999997</v>
      </c>
      <c r="G293" s="165" t="s">
        <v>8</v>
      </c>
      <c r="H293" s="164">
        <f t="shared" si="22"/>
        <v>8932.0619999999963</v>
      </c>
      <c r="I293" s="165">
        <f t="shared" si="21"/>
        <v>2886.7780000000039</v>
      </c>
      <c r="J293" s="177">
        <f t="shared" si="20"/>
        <v>320.91240482505725</v>
      </c>
      <c r="K293" s="518"/>
      <c r="L293" s="519"/>
    </row>
    <row r="294" spans="1:12">
      <c r="A294" s="298">
        <v>272</v>
      </c>
      <c r="B294" s="492" t="s">
        <v>152</v>
      </c>
      <c r="C294" s="493"/>
      <c r="D294" s="300">
        <f t="shared" si="24"/>
        <v>99</v>
      </c>
      <c r="E294" s="197">
        <v>33.700000000000003</v>
      </c>
      <c r="F294" s="164">
        <f t="shared" si="23"/>
        <v>33.302</v>
      </c>
      <c r="G294" s="165" t="s">
        <v>8</v>
      </c>
      <c r="H294" s="164">
        <f t="shared" si="22"/>
        <v>8965.3639999999959</v>
      </c>
      <c r="I294" s="165">
        <f t="shared" si="21"/>
        <v>2853.4760000000042</v>
      </c>
      <c r="J294" s="177">
        <f t="shared" si="20"/>
        <v>321.63538132314739</v>
      </c>
      <c r="K294" s="518"/>
      <c r="L294" s="519"/>
    </row>
    <row r="295" spans="1:12">
      <c r="A295" s="298">
        <v>273</v>
      </c>
      <c r="B295" s="492" t="s">
        <v>152</v>
      </c>
      <c r="C295" s="493"/>
      <c r="D295" s="300">
        <f t="shared" si="24"/>
        <v>98</v>
      </c>
      <c r="E295" s="197">
        <v>33.75</v>
      </c>
      <c r="F295" s="164">
        <f t="shared" si="23"/>
        <v>33.351999999999997</v>
      </c>
      <c r="G295" s="165" t="s">
        <v>8</v>
      </c>
      <c r="H295" s="164">
        <f t="shared" si="22"/>
        <v>8998.7159999999967</v>
      </c>
      <c r="I295" s="165">
        <f t="shared" si="21"/>
        <v>2820.1240000000034</v>
      </c>
      <c r="J295" s="177">
        <f t="shared" si="20"/>
        <v>322.35944330634072</v>
      </c>
      <c r="K295" s="518"/>
      <c r="L295" s="519"/>
    </row>
    <row r="296" spans="1:12">
      <c r="A296" s="298">
        <v>274</v>
      </c>
      <c r="B296" s="492" t="s">
        <v>152</v>
      </c>
      <c r="C296" s="493"/>
      <c r="D296" s="300">
        <f t="shared" si="24"/>
        <v>97</v>
      </c>
      <c r="E296" s="197">
        <v>33.81</v>
      </c>
      <c r="F296" s="164">
        <f t="shared" si="23"/>
        <v>33.411999999999999</v>
      </c>
      <c r="G296" s="165" t="s">
        <v>8</v>
      </c>
      <c r="H296" s="164">
        <f t="shared" si="22"/>
        <v>9032.127999999997</v>
      </c>
      <c r="I296" s="165">
        <f t="shared" si="21"/>
        <v>2786.7120000000032</v>
      </c>
      <c r="J296" s="177">
        <f t="shared" si="20"/>
        <v>323.08480787165774</v>
      </c>
      <c r="K296" s="518"/>
      <c r="L296" s="519"/>
    </row>
    <row r="297" spans="1:12">
      <c r="A297" s="298">
        <v>275</v>
      </c>
      <c r="B297" s="492" t="s">
        <v>152</v>
      </c>
      <c r="C297" s="493"/>
      <c r="D297" s="300">
        <f t="shared" si="24"/>
        <v>96</v>
      </c>
      <c r="E297" s="197">
        <v>33.5</v>
      </c>
      <c r="F297" s="164">
        <f t="shared" si="23"/>
        <v>33.101999999999997</v>
      </c>
      <c r="G297" s="165" t="s">
        <v>8</v>
      </c>
      <c r="H297" s="164">
        <f t="shared" si="22"/>
        <v>9065.2299999999977</v>
      </c>
      <c r="I297" s="165">
        <f t="shared" si="21"/>
        <v>2753.6100000000024</v>
      </c>
      <c r="J297" s="177">
        <f t="shared" si="20"/>
        <v>323.80344242933535</v>
      </c>
      <c r="K297" s="518"/>
      <c r="L297" s="519"/>
    </row>
    <row r="298" spans="1:12">
      <c r="A298" s="298">
        <v>276</v>
      </c>
      <c r="B298" s="492" t="s">
        <v>152</v>
      </c>
      <c r="C298" s="493"/>
      <c r="D298" s="300">
        <f t="shared" si="24"/>
        <v>95</v>
      </c>
      <c r="E298" s="197">
        <v>33.72</v>
      </c>
      <c r="F298" s="164">
        <f t="shared" si="23"/>
        <v>33.321999999999996</v>
      </c>
      <c r="G298" s="165" t="s">
        <v>8</v>
      </c>
      <c r="H298" s="164">
        <f t="shared" si="22"/>
        <v>9098.5519999999979</v>
      </c>
      <c r="I298" s="165">
        <f t="shared" si="21"/>
        <v>2720.2880000000023</v>
      </c>
      <c r="J298" s="177">
        <f t="shared" si="20"/>
        <v>324.52685312146673</v>
      </c>
      <c r="K298" s="518"/>
      <c r="L298" s="519"/>
    </row>
    <row r="299" spans="1:12">
      <c r="A299" s="298">
        <v>277</v>
      </c>
      <c r="B299" s="492" t="s">
        <v>152</v>
      </c>
      <c r="C299" s="493"/>
      <c r="D299" s="300">
        <f t="shared" si="24"/>
        <v>94</v>
      </c>
      <c r="E299" s="197">
        <v>33.479999999999997</v>
      </c>
      <c r="F299" s="164">
        <f t="shared" si="23"/>
        <v>33.081999999999994</v>
      </c>
      <c r="G299" s="165" t="s">
        <v>8</v>
      </c>
      <c r="H299" s="164">
        <f t="shared" si="22"/>
        <v>9131.6339999999982</v>
      </c>
      <c r="I299" s="165">
        <f t="shared" si="21"/>
        <v>2687.2060000000019</v>
      </c>
      <c r="J299" s="177">
        <f t="shared" si="20"/>
        <v>325.24505348510309</v>
      </c>
      <c r="K299" s="518"/>
      <c r="L299" s="519"/>
    </row>
    <row r="300" spans="1:12">
      <c r="A300" s="298">
        <v>278</v>
      </c>
      <c r="B300" s="492" t="s">
        <v>152</v>
      </c>
      <c r="C300" s="493"/>
      <c r="D300" s="300">
        <f t="shared" si="24"/>
        <v>93</v>
      </c>
      <c r="E300" s="197">
        <v>33.54</v>
      </c>
      <c r="F300" s="164">
        <f t="shared" si="23"/>
        <v>33.141999999999996</v>
      </c>
      <c r="G300" s="165" t="s">
        <v>8</v>
      </c>
      <c r="H300" s="164">
        <f t="shared" si="22"/>
        <v>9164.775999999998</v>
      </c>
      <c r="I300" s="165">
        <f t="shared" si="21"/>
        <v>2654.0640000000021</v>
      </c>
      <c r="J300" s="177">
        <f t="shared" si="20"/>
        <v>325.96455643086324</v>
      </c>
      <c r="K300" s="518"/>
      <c r="L300" s="519"/>
    </row>
    <row r="301" spans="1:12">
      <c r="A301" s="298">
        <v>279</v>
      </c>
      <c r="B301" s="492" t="s">
        <v>152</v>
      </c>
      <c r="C301" s="493"/>
      <c r="D301" s="300">
        <f t="shared" si="24"/>
        <v>92</v>
      </c>
      <c r="E301" s="197">
        <v>33.340000000000003</v>
      </c>
      <c r="F301" s="164">
        <f t="shared" si="23"/>
        <v>32.942</v>
      </c>
      <c r="G301" s="165" t="s">
        <v>8</v>
      </c>
      <c r="H301" s="164">
        <f t="shared" si="22"/>
        <v>9197.7179999999971</v>
      </c>
      <c r="I301" s="165">
        <f t="shared" si="21"/>
        <v>2621.122000000003</v>
      </c>
      <c r="J301" s="177">
        <f t="shared" si="20"/>
        <v>326.67971743621081</v>
      </c>
      <c r="K301" s="518"/>
      <c r="L301" s="519"/>
    </row>
    <row r="302" spans="1:12">
      <c r="A302" s="298">
        <v>280</v>
      </c>
      <c r="B302" s="492" t="s">
        <v>152</v>
      </c>
      <c r="C302" s="493"/>
      <c r="D302" s="300">
        <f t="shared" si="24"/>
        <v>91</v>
      </c>
      <c r="E302" s="197">
        <v>33.85</v>
      </c>
      <c r="F302" s="164">
        <f t="shared" si="23"/>
        <v>33.451999999999998</v>
      </c>
      <c r="G302" s="165" t="s">
        <v>8</v>
      </c>
      <c r="H302" s="164">
        <f t="shared" si="22"/>
        <v>9231.1699999999964</v>
      </c>
      <c r="I302" s="165">
        <f t="shared" si="21"/>
        <v>2587.6700000000037</v>
      </c>
      <c r="J302" s="177">
        <f t="shared" si="20"/>
        <v>327.40595038961033</v>
      </c>
      <c r="K302" s="518"/>
      <c r="L302" s="519"/>
    </row>
    <row r="303" spans="1:12">
      <c r="A303" s="298">
        <v>281</v>
      </c>
      <c r="B303" s="492" t="s">
        <v>152</v>
      </c>
      <c r="C303" s="493"/>
      <c r="D303" s="300">
        <f t="shared" si="24"/>
        <v>90</v>
      </c>
      <c r="E303" s="197">
        <v>33.69</v>
      </c>
      <c r="F303" s="164">
        <f t="shared" si="23"/>
        <v>33.291999999999994</v>
      </c>
      <c r="G303" s="165" t="s">
        <v>8</v>
      </c>
      <c r="H303" s="164">
        <f t="shared" si="22"/>
        <v>9264.4619999999959</v>
      </c>
      <c r="I303" s="165">
        <f t="shared" si="21"/>
        <v>2554.3780000000042</v>
      </c>
      <c r="J303" s="177">
        <f t="shared" si="20"/>
        <v>328.12870979067986</v>
      </c>
      <c r="K303" s="518"/>
      <c r="L303" s="519"/>
    </row>
    <row r="304" spans="1:12">
      <c r="A304" s="298">
        <v>282</v>
      </c>
      <c r="B304" s="492" t="s">
        <v>152</v>
      </c>
      <c r="C304" s="493"/>
      <c r="D304" s="300">
        <f t="shared" si="24"/>
        <v>89</v>
      </c>
      <c r="E304" s="197">
        <v>33.549999999999997</v>
      </c>
      <c r="F304" s="164">
        <f t="shared" si="23"/>
        <v>33.151999999999994</v>
      </c>
      <c r="G304" s="165" t="s">
        <v>8</v>
      </c>
      <c r="H304" s="164">
        <f t="shared" si="22"/>
        <v>9297.6139999999959</v>
      </c>
      <c r="I304" s="165">
        <f t="shared" si="21"/>
        <v>2521.2260000000042</v>
      </c>
      <c r="J304" s="177">
        <f t="shared" si="20"/>
        <v>328.84842983346061</v>
      </c>
      <c r="K304" s="518"/>
      <c r="L304" s="519"/>
    </row>
    <row r="305" spans="1:12">
      <c r="A305" s="298">
        <v>283</v>
      </c>
      <c r="B305" s="492" t="s">
        <v>152</v>
      </c>
      <c r="C305" s="493"/>
      <c r="D305" s="300">
        <f t="shared" si="24"/>
        <v>88</v>
      </c>
      <c r="E305" s="197">
        <v>33.299999999999997</v>
      </c>
      <c r="F305" s="164">
        <f t="shared" si="23"/>
        <v>32.901999999999994</v>
      </c>
      <c r="G305" s="165" t="s">
        <v>8</v>
      </c>
      <c r="H305" s="164">
        <f t="shared" si="22"/>
        <v>9330.515999999996</v>
      </c>
      <c r="I305" s="165">
        <f t="shared" si="21"/>
        <v>2488.3240000000042</v>
      </c>
      <c r="J305" s="177">
        <f t="shared" si="20"/>
        <v>329.56272245072569</v>
      </c>
      <c r="K305" s="518"/>
      <c r="L305" s="519"/>
    </row>
    <row r="306" spans="1:12">
      <c r="A306" s="298">
        <v>284</v>
      </c>
      <c r="B306" s="492" t="s">
        <v>152</v>
      </c>
      <c r="C306" s="493"/>
      <c r="D306" s="300">
        <f t="shared" si="24"/>
        <v>87</v>
      </c>
      <c r="E306" s="197">
        <v>33.94</v>
      </c>
      <c r="F306" s="164">
        <f t="shared" si="23"/>
        <v>33.541999999999994</v>
      </c>
      <c r="G306" s="165" t="s">
        <v>8</v>
      </c>
      <c r="H306" s="164">
        <f t="shared" si="22"/>
        <v>9364.0579999999954</v>
      </c>
      <c r="I306" s="165">
        <f t="shared" si="21"/>
        <v>2454.7820000000047</v>
      </c>
      <c r="J306" s="177">
        <f t="shared" si="20"/>
        <v>330.29090927731085</v>
      </c>
      <c r="K306" s="518"/>
      <c r="L306" s="519"/>
    </row>
    <row r="307" spans="1:12">
      <c r="A307" s="298">
        <v>285</v>
      </c>
      <c r="B307" s="492" t="s">
        <v>152</v>
      </c>
      <c r="C307" s="493"/>
      <c r="D307" s="300">
        <f t="shared" si="24"/>
        <v>86</v>
      </c>
      <c r="E307" s="197">
        <v>33.549999999999997</v>
      </c>
      <c r="F307" s="164">
        <f t="shared" si="23"/>
        <v>33.151999999999994</v>
      </c>
      <c r="G307" s="165" t="s">
        <v>8</v>
      </c>
      <c r="H307" s="164">
        <f t="shared" si="22"/>
        <v>9397.2099999999955</v>
      </c>
      <c r="I307" s="165">
        <f t="shared" si="21"/>
        <v>2421.6300000000047</v>
      </c>
      <c r="J307" s="177">
        <f t="shared" si="20"/>
        <v>331.0106293200916</v>
      </c>
      <c r="K307" s="518"/>
      <c r="L307" s="519"/>
    </row>
    <row r="308" spans="1:12">
      <c r="A308" s="298">
        <v>286</v>
      </c>
      <c r="B308" s="492" t="s">
        <v>152</v>
      </c>
      <c r="C308" s="493"/>
      <c r="D308" s="300">
        <f t="shared" si="24"/>
        <v>85</v>
      </c>
      <c r="E308" s="197">
        <v>33.630000000000003</v>
      </c>
      <c r="F308" s="164">
        <f t="shared" si="23"/>
        <v>33.231999999999999</v>
      </c>
      <c r="G308" s="165" t="s">
        <v>8</v>
      </c>
      <c r="H308" s="164">
        <f t="shared" si="22"/>
        <v>9430.4419999999955</v>
      </c>
      <c r="I308" s="165">
        <f t="shared" si="21"/>
        <v>2388.3980000000047</v>
      </c>
      <c r="J308" s="177">
        <f t="shared" si="20"/>
        <v>331.73208613903739</v>
      </c>
      <c r="K308" s="518"/>
      <c r="L308" s="519"/>
    </row>
    <row r="309" spans="1:12">
      <c r="A309" s="298">
        <v>287</v>
      </c>
      <c r="B309" s="492" t="s">
        <v>152</v>
      </c>
      <c r="C309" s="493"/>
      <c r="D309" s="300">
        <f t="shared" si="24"/>
        <v>84</v>
      </c>
      <c r="E309" s="197">
        <v>33.78</v>
      </c>
      <c r="F309" s="164">
        <f t="shared" si="23"/>
        <v>33.381999999999998</v>
      </c>
      <c r="G309" s="165" t="s">
        <v>8</v>
      </c>
      <c r="H309" s="164">
        <f t="shared" si="22"/>
        <v>9463.8239999999951</v>
      </c>
      <c r="I309" s="165">
        <f t="shared" si="21"/>
        <v>2355.0160000000051</v>
      </c>
      <c r="J309" s="177">
        <f t="shared" si="20"/>
        <v>332.45679941329252</v>
      </c>
      <c r="K309" s="518"/>
      <c r="L309" s="519"/>
    </row>
    <row r="310" spans="1:12">
      <c r="A310" s="298">
        <v>288</v>
      </c>
      <c r="B310" s="492" t="s">
        <v>152</v>
      </c>
      <c r="C310" s="493"/>
      <c r="D310" s="300">
        <f t="shared" si="24"/>
        <v>83</v>
      </c>
      <c r="E310" s="197">
        <v>33.81</v>
      </c>
      <c r="F310" s="164">
        <f t="shared" si="23"/>
        <v>33.411999999999999</v>
      </c>
      <c r="G310" s="165" t="s">
        <v>8</v>
      </c>
      <c r="H310" s="164">
        <f t="shared" si="22"/>
        <v>9497.2359999999953</v>
      </c>
      <c r="I310" s="165">
        <f t="shared" si="21"/>
        <v>2321.6040000000048</v>
      </c>
      <c r="J310" s="177">
        <f t="shared" si="20"/>
        <v>333.18216397860954</v>
      </c>
      <c r="K310" s="518"/>
      <c r="L310" s="519"/>
    </row>
    <row r="311" spans="1:12">
      <c r="A311" s="298">
        <v>289</v>
      </c>
      <c r="B311" s="492" t="s">
        <v>152</v>
      </c>
      <c r="C311" s="493"/>
      <c r="D311" s="300">
        <f t="shared" si="24"/>
        <v>82</v>
      </c>
      <c r="E311" s="197">
        <v>33.909999999999997</v>
      </c>
      <c r="F311" s="164">
        <f t="shared" si="23"/>
        <v>33.511999999999993</v>
      </c>
      <c r="G311" s="165" t="s">
        <v>8</v>
      </c>
      <c r="H311" s="164">
        <f t="shared" si="22"/>
        <v>9530.747999999996</v>
      </c>
      <c r="I311" s="165">
        <f t="shared" si="21"/>
        <v>2288.0920000000042</v>
      </c>
      <c r="J311" s="177">
        <f t="shared" si="20"/>
        <v>333.90969951413285</v>
      </c>
      <c r="K311" s="518"/>
      <c r="L311" s="519"/>
    </row>
    <row r="312" spans="1:12">
      <c r="A312" s="298">
        <v>290</v>
      </c>
      <c r="B312" s="492" t="s">
        <v>152</v>
      </c>
      <c r="C312" s="493"/>
      <c r="D312" s="300">
        <f t="shared" si="24"/>
        <v>81</v>
      </c>
      <c r="E312" s="197">
        <v>33.700000000000003</v>
      </c>
      <c r="F312" s="164">
        <f t="shared" si="23"/>
        <v>33.302</v>
      </c>
      <c r="G312" s="165" t="s">
        <v>8</v>
      </c>
      <c r="H312" s="164">
        <f t="shared" si="22"/>
        <v>9564.0499999999956</v>
      </c>
      <c r="I312" s="165">
        <f t="shared" si="21"/>
        <v>2254.7900000000045</v>
      </c>
      <c r="J312" s="177">
        <f t="shared" si="20"/>
        <v>334.63267601222299</v>
      </c>
      <c r="K312" s="518"/>
      <c r="L312" s="519"/>
    </row>
    <row r="313" spans="1:12">
      <c r="A313" s="298">
        <v>291</v>
      </c>
      <c r="B313" s="492" t="s">
        <v>152</v>
      </c>
      <c r="C313" s="493"/>
      <c r="D313" s="300">
        <f t="shared" si="24"/>
        <v>80</v>
      </c>
      <c r="E313" s="197">
        <v>33.4</v>
      </c>
      <c r="F313" s="164">
        <f t="shared" si="23"/>
        <v>33.001999999999995</v>
      </c>
      <c r="G313" s="165" t="s">
        <v>8</v>
      </c>
      <c r="H313" s="164">
        <f t="shared" si="22"/>
        <v>9597.051999999996</v>
      </c>
      <c r="I313" s="165">
        <f t="shared" si="21"/>
        <v>2221.7880000000041</v>
      </c>
      <c r="J313" s="177">
        <f t="shared" si="20"/>
        <v>335.34913959969435</v>
      </c>
      <c r="K313" s="518"/>
      <c r="L313" s="519"/>
    </row>
    <row r="314" spans="1:12">
      <c r="A314" s="298">
        <v>292</v>
      </c>
      <c r="B314" s="492" t="s">
        <v>152</v>
      </c>
      <c r="C314" s="493"/>
      <c r="D314" s="300">
        <f t="shared" si="24"/>
        <v>79</v>
      </c>
      <c r="E314" s="197">
        <v>33.47</v>
      </c>
      <c r="F314" s="164">
        <f t="shared" si="23"/>
        <v>33.071999999999996</v>
      </c>
      <c r="G314" s="165" t="s">
        <v>8</v>
      </c>
      <c r="H314" s="164">
        <f t="shared" si="22"/>
        <v>9630.1239999999962</v>
      </c>
      <c r="I314" s="165">
        <f t="shared" si="21"/>
        <v>2188.716000000004</v>
      </c>
      <c r="J314" s="177">
        <f t="shared" si="20"/>
        <v>336.06712286631011</v>
      </c>
      <c r="K314" s="518"/>
      <c r="L314" s="519"/>
    </row>
    <row r="315" spans="1:12">
      <c r="A315" s="298">
        <v>293</v>
      </c>
      <c r="B315" s="492" t="s">
        <v>152</v>
      </c>
      <c r="C315" s="493"/>
      <c r="D315" s="300">
        <f t="shared" si="24"/>
        <v>78</v>
      </c>
      <c r="E315" s="197">
        <v>33.590000000000003</v>
      </c>
      <c r="F315" s="164">
        <f t="shared" si="23"/>
        <v>33.192</v>
      </c>
      <c r="G315" s="165" t="s">
        <v>8</v>
      </c>
      <c r="H315" s="164">
        <f t="shared" si="22"/>
        <v>9663.3159999999953</v>
      </c>
      <c r="I315" s="165">
        <f t="shared" si="21"/>
        <v>2155.5240000000049</v>
      </c>
      <c r="J315" s="177">
        <f t="shared" si="20"/>
        <v>336.78771129717336</v>
      </c>
      <c r="K315" s="518"/>
      <c r="L315" s="519"/>
    </row>
    <row r="316" spans="1:12">
      <c r="A316" s="298">
        <v>294</v>
      </c>
      <c r="B316" s="492" t="s">
        <v>152</v>
      </c>
      <c r="C316" s="493"/>
      <c r="D316" s="300">
        <f t="shared" si="24"/>
        <v>77</v>
      </c>
      <c r="E316" s="197">
        <v>31.92</v>
      </c>
      <c r="F316" s="164">
        <f t="shared" si="23"/>
        <v>31.522000000000002</v>
      </c>
      <c r="G316" s="165" t="s">
        <v>8</v>
      </c>
      <c r="H316" s="164">
        <f t="shared" si="22"/>
        <v>9694.8379999999961</v>
      </c>
      <c r="I316" s="165">
        <f t="shared" si="21"/>
        <v>2124.002000000004</v>
      </c>
      <c r="J316" s="177">
        <f t="shared" si="20"/>
        <v>337.47204452559197</v>
      </c>
      <c r="K316" s="518"/>
      <c r="L316" s="519"/>
    </row>
    <row r="317" spans="1:12">
      <c r="A317" s="298">
        <v>295</v>
      </c>
      <c r="B317" s="492" t="s">
        <v>152</v>
      </c>
      <c r="C317" s="493"/>
      <c r="D317" s="300">
        <f t="shared" si="24"/>
        <v>76</v>
      </c>
      <c r="E317" s="197">
        <v>33</v>
      </c>
      <c r="F317" s="164">
        <f t="shared" si="23"/>
        <v>32.601999999999997</v>
      </c>
      <c r="G317" s="165" t="s">
        <v>8</v>
      </c>
      <c r="H317" s="164">
        <f t="shared" si="22"/>
        <v>9727.4399999999969</v>
      </c>
      <c r="I317" s="165">
        <f t="shared" si="21"/>
        <v>2091.4000000000033</v>
      </c>
      <c r="J317" s="177">
        <f t="shared" si="20"/>
        <v>338.17982423223827</v>
      </c>
      <c r="K317" s="518"/>
      <c r="L317" s="519"/>
    </row>
    <row r="318" spans="1:12">
      <c r="A318" s="298">
        <v>296</v>
      </c>
      <c r="B318" s="492" t="s">
        <v>152</v>
      </c>
      <c r="C318" s="493"/>
      <c r="D318" s="300">
        <f t="shared" si="24"/>
        <v>75</v>
      </c>
      <c r="E318" s="197">
        <v>33.01</v>
      </c>
      <c r="F318" s="164">
        <f t="shared" si="23"/>
        <v>32.611999999999995</v>
      </c>
      <c r="G318" s="165" t="s">
        <v>8</v>
      </c>
      <c r="H318" s="164">
        <f t="shared" si="22"/>
        <v>9760.051999999996</v>
      </c>
      <c r="I318" s="165">
        <f t="shared" si="21"/>
        <v>2058.7880000000041</v>
      </c>
      <c r="J318" s="177">
        <f t="shared" si="20"/>
        <v>338.88782103590518</v>
      </c>
      <c r="K318" s="518"/>
      <c r="L318" s="519"/>
    </row>
    <row r="319" spans="1:12">
      <c r="A319" s="298">
        <v>297</v>
      </c>
      <c r="B319" s="492" t="s">
        <v>152</v>
      </c>
      <c r="C319" s="493"/>
      <c r="D319" s="300">
        <f t="shared" si="24"/>
        <v>74</v>
      </c>
      <c r="E319" s="197">
        <v>33.47</v>
      </c>
      <c r="F319" s="164">
        <f t="shared" si="23"/>
        <v>33.071999999999996</v>
      </c>
      <c r="G319" s="165" t="s">
        <v>8</v>
      </c>
      <c r="H319" s="164">
        <f t="shared" si="22"/>
        <v>9793.1239999999962</v>
      </c>
      <c r="I319" s="165">
        <f t="shared" si="21"/>
        <v>2025.716000000004</v>
      </c>
      <c r="J319" s="177">
        <f t="shared" si="20"/>
        <v>339.60580430252094</v>
      </c>
      <c r="K319" s="518"/>
      <c r="L319" s="519"/>
    </row>
    <row r="320" spans="1:12">
      <c r="A320" s="298">
        <v>298</v>
      </c>
      <c r="B320" s="492" t="s">
        <v>152</v>
      </c>
      <c r="C320" s="493"/>
      <c r="D320" s="300">
        <f t="shared" si="24"/>
        <v>73</v>
      </c>
      <c r="E320" s="197">
        <v>32.92</v>
      </c>
      <c r="F320" s="164">
        <f t="shared" si="23"/>
        <v>32.521999999999998</v>
      </c>
      <c r="G320" s="165" t="s">
        <v>8</v>
      </c>
      <c r="H320" s="164">
        <f t="shared" si="22"/>
        <v>9825.645999999997</v>
      </c>
      <c r="I320" s="165">
        <f t="shared" si="21"/>
        <v>1993.1940000000031</v>
      </c>
      <c r="J320" s="177">
        <f t="shared" si="20"/>
        <v>340.31184723300225</v>
      </c>
      <c r="K320" s="518"/>
      <c r="L320" s="519"/>
    </row>
    <row r="321" spans="1:12">
      <c r="A321" s="298">
        <v>299</v>
      </c>
      <c r="B321" s="492" t="s">
        <v>152</v>
      </c>
      <c r="C321" s="493"/>
      <c r="D321" s="300">
        <f t="shared" si="24"/>
        <v>72</v>
      </c>
      <c r="E321" s="197">
        <v>33.659999999999997</v>
      </c>
      <c r="F321" s="164">
        <f t="shared" si="23"/>
        <v>33.261999999999993</v>
      </c>
      <c r="G321" s="165" t="s">
        <v>8</v>
      </c>
      <c r="H321" s="164">
        <f t="shared" si="22"/>
        <v>9858.9079999999976</v>
      </c>
      <c r="I321" s="165">
        <f t="shared" si="21"/>
        <v>1959.9320000000025</v>
      </c>
      <c r="J321" s="177">
        <f t="shared" si="20"/>
        <v>341.03395534300989</v>
      </c>
      <c r="K321" s="518"/>
      <c r="L321" s="519"/>
    </row>
    <row r="322" spans="1:12">
      <c r="A322" s="298">
        <v>300</v>
      </c>
      <c r="B322" s="492" t="s">
        <v>152</v>
      </c>
      <c r="C322" s="493"/>
      <c r="D322" s="300">
        <f t="shared" si="24"/>
        <v>71</v>
      </c>
      <c r="E322" s="197">
        <v>33.22</v>
      </c>
      <c r="F322" s="164">
        <f t="shared" si="23"/>
        <v>32.821999999999996</v>
      </c>
      <c r="G322" s="165" t="s">
        <v>8</v>
      </c>
      <c r="H322" s="164">
        <f t="shared" si="22"/>
        <v>9891.7299999999977</v>
      </c>
      <c r="I322" s="165">
        <f t="shared" si="21"/>
        <v>1927.1100000000024</v>
      </c>
      <c r="J322" s="177">
        <f t="shared" si="20"/>
        <v>341.74651118410998</v>
      </c>
      <c r="K322" s="518"/>
      <c r="L322" s="519"/>
    </row>
    <row r="323" spans="1:12">
      <c r="A323" s="298">
        <v>301</v>
      </c>
      <c r="B323" s="492" t="s">
        <v>152</v>
      </c>
      <c r="C323" s="493"/>
      <c r="D323" s="300">
        <f t="shared" si="24"/>
        <v>70</v>
      </c>
      <c r="E323" s="197">
        <v>33.72</v>
      </c>
      <c r="F323" s="164">
        <f t="shared" si="23"/>
        <v>33.321999999999996</v>
      </c>
      <c r="G323" s="165" t="s">
        <v>8</v>
      </c>
      <c r="H323" s="164">
        <f t="shared" si="22"/>
        <v>9925.0519999999979</v>
      </c>
      <c r="I323" s="165">
        <f t="shared" si="21"/>
        <v>1893.7880000000023</v>
      </c>
      <c r="J323" s="177">
        <f t="shared" si="20"/>
        <v>342.46992187624141</v>
      </c>
      <c r="K323" s="518"/>
      <c r="L323" s="519"/>
    </row>
    <row r="324" spans="1:12">
      <c r="A324" s="298">
        <v>302</v>
      </c>
      <c r="B324" s="492" t="s">
        <v>152</v>
      </c>
      <c r="C324" s="493"/>
      <c r="D324" s="300">
        <f t="shared" si="24"/>
        <v>69</v>
      </c>
      <c r="E324" s="197">
        <v>33.65</v>
      </c>
      <c r="F324" s="164">
        <f t="shared" si="23"/>
        <v>33.251999999999995</v>
      </c>
      <c r="G324" s="165" t="s">
        <v>8</v>
      </c>
      <c r="H324" s="164">
        <f t="shared" si="22"/>
        <v>9958.3039999999983</v>
      </c>
      <c r="I324" s="165">
        <f t="shared" si="21"/>
        <v>1860.5360000000019</v>
      </c>
      <c r="J324" s="177">
        <f t="shared" si="20"/>
        <v>343.1918128892284</v>
      </c>
      <c r="K324" s="518"/>
      <c r="L324" s="519"/>
    </row>
    <row r="325" spans="1:12">
      <c r="A325" s="298">
        <v>303</v>
      </c>
      <c r="B325" s="492" t="s">
        <v>152</v>
      </c>
      <c r="C325" s="493"/>
      <c r="D325" s="300">
        <f t="shared" si="24"/>
        <v>68</v>
      </c>
      <c r="E325" s="197">
        <v>33.270000000000003</v>
      </c>
      <c r="F325" s="164">
        <f t="shared" si="23"/>
        <v>32.872</v>
      </c>
      <c r="G325" s="165" t="s">
        <v>8</v>
      </c>
      <c r="H325" s="164">
        <f t="shared" si="22"/>
        <v>9991.1759999999977</v>
      </c>
      <c r="I325" s="165">
        <f t="shared" si="21"/>
        <v>1827.6640000000025</v>
      </c>
      <c r="J325" s="177">
        <f t="shared" si="20"/>
        <v>343.90545421543163</v>
      </c>
      <c r="K325" s="518"/>
      <c r="L325" s="519"/>
    </row>
    <row r="326" spans="1:12">
      <c r="A326" s="298">
        <v>304</v>
      </c>
      <c r="B326" s="492" t="s">
        <v>152</v>
      </c>
      <c r="C326" s="493"/>
      <c r="D326" s="300">
        <f t="shared" si="24"/>
        <v>67</v>
      </c>
      <c r="E326" s="197">
        <v>33.19</v>
      </c>
      <c r="F326" s="164">
        <f t="shared" si="23"/>
        <v>32.791999999999994</v>
      </c>
      <c r="G326" s="165" t="s">
        <v>8</v>
      </c>
      <c r="H326" s="164">
        <f t="shared" si="22"/>
        <v>10023.967999999997</v>
      </c>
      <c r="I326" s="165">
        <f t="shared" si="21"/>
        <v>1794.872000000003</v>
      </c>
      <c r="J326" s="177">
        <f t="shared" si="20"/>
        <v>344.61735876546982</v>
      </c>
      <c r="K326" s="518"/>
      <c r="L326" s="519"/>
    </row>
    <row r="327" spans="1:12">
      <c r="A327" s="298">
        <v>305</v>
      </c>
      <c r="B327" s="492" t="s">
        <v>152</v>
      </c>
      <c r="C327" s="493"/>
      <c r="D327" s="300">
        <f t="shared" si="24"/>
        <v>66</v>
      </c>
      <c r="E327" s="197">
        <v>33.770000000000003</v>
      </c>
      <c r="F327" s="164">
        <f t="shared" si="23"/>
        <v>33.372</v>
      </c>
      <c r="G327" s="165" t="s">
        <v>8</v>
      </c>
      <c r="H327" s="164">
        <f t="shared" si="22"/>
        <v>10057.339999999997</v>
      </c>
      <c r="I327" s="165">
        <f t="shared" si="21"/>
        <v>1761.5000000000036</v>
      </c>
      <c r="J327" s="177">
        <f t="shared" si="20"/>
        <v>345.34185494270434</v>
      </c>
      <c r="K327" s="518"/>
      <c r="L327" s="519"/>
    </row>
    <row r="328" spans="1:12">
      <c r="A328" s="298">
        <v>306</v>
      </c>
      <c r="B328" s="492" t="s">
        <v>152</v>
      </c>
      <c r="C328" s="493"/>
      <c r="D328" s="300">
        <f t="shared" si="24"/>
        <v>65</v>
      </c>
      <c r="E328" s="197">
        <v>33.15</v>
      </c>
      <c r="F328" s="164">
        <f t="shared" si="23"/>
        <v>32.751999999999995</v>
      </c>
      <c r="G328" s="165" t="s">
        <v>8</v>
      </c>
      <c r="H328" s="164">
        <f t="shared" si="22"/>
        <v>10090.091999999997</v>
      </c>
      <c r="I328" s="165">
        <f t="shared" si="21"/>
        <v>1728.7480000000032</v>
      </c>
      <c r="J328" s="177">
        <f t="shared" si="20"/>
        <v>346.05289110466003</v>
      </c>
      <c r="K328" s="518"/>
      <c r="L328" s="519"/>
    </row>
    <row r="329" spans="1:12">
      <c r="A329" s="298">
        <v>307</v>
      </c>
      <c r="B329" s="492" t="s">
        <v>152</v>
      </c>
      <c r="C329" s="493"/>
      <c r="D329" s="300">
        <f t="shared" si="24"/>
        <v>64</v>
      </c>
      <c r="E329" s="197">
        <v>33.700000000000003</v>
      </c>
      <c r="F329" s="164">
        <f t="shared" si="23"/>
        <v>33.302</v>
      </c>
      <c r="G329" s="165" t="s">
        <v>8</v>
      </c>
      <c r="H329" s="164">
        <f t="shared" si="22"/>
        <v>10123.393999999997</v>
      </c>
      <c r="I329" s="165">
        <f t="shared" si="21"/>
        <v>1695.4460000000036</v>
      </c>
      <c r="J329" s="177">
        <f t="shared" si="20"/>
        <v>346.77586760275017</v>
      </c>
      <c r="K329" s="518"/>
      <c r="L329" s="519"/>
    </row>
    <row r="330" spans="1:12">
      <c r="A330" s="298">
        <v>308</v>
      </c>
      <c r="B330" s="492" t="s">
        <v>152</v>
      </c>
      <c r="C330" s="493"/>
      <c r="D330" s="300">
        <f t="shared" si="24"/>
        <v>63</v>
      </c>
      <c r="E330" s="197">
        <v>33.479999999999997</v>
      </c>
      <c r="F330" s="164">
        <f t="shared" si="23"/>
        <v>33.081999999999994</v>
      </c>
      <c r="G330" s="165" t="s">
        <v>8</v>
      </c>
      <c r="H330" s="164">
        <f t="shared" si="22"/>
        <v>10156.475999999997</v>
      </c>
      <c r="I330" s="165">
        <f t="shared" si="21"/>
        <v>1662.3640000000032</v>
      </c>
      <c r="J330" s="177">
        <f t="shared" si="20"/>
        <v>347.49406796638652</v>
      </c>
      <c r="K330" s="518"/>
      <c r="L330" s="519"/>
    </row>
    <row r="331" spans="1:12">
      <c r="A331" s="298">
        <v>309</v>
      </c>
      <c r="B331" s="492" t="s">
        <v>152</v>
      </c>
      <c r="C331" s="493"/>
      <c r="D331" s="300">
        <f t="shared" si="24"/>
        <v>62</v>
      </c>
      <c r="E331" s="197">
        <v>33.64</v>
      </c>
      <c r="F331" s="164">
        <f t="shared" si="23"/>
        <v>33.241999999999997</v>
      </c>
      <c r="G331" s="165" t="s">
        <v>8</v>
      </c>
      <c r="H331" s="164">
        <f t="shared" si="22"/>
        <v>10189.717999999997</v>
      </c>
      <c r="I331" s="165">
        <f t="shared" si="21"/>
        <v>1629.122000000003</v>
      </c>
      <c r="J331" s="177">
        <f t="shared" si="20"/>
        <v>348.21574188235292</v>
      </c>
      <c r="K331" s="518"/>
      <c r="L331" s="519"/>
    </row>
    <row r="332" spans="1:12">
      <c r="A332" s="298">
        <v>310</v>
      </c>
      <c r="B332" s="492" t="s">
        <v>152</v>
      </c>
      <c r="C332" s="493"/>
      <c r="D332" s="300">
        <f t="shared" si="24"/>
        <v>61</v>
      </c>
      <c r="E332" s="197">
        <v>33.81</v>
      </c>
      <c r="F332" s="164">
        <f t="shared" si="23"/>
        <v>33.411999999999999</v>
      </c>
      <c r="G332" s="165" t="s">
        <v>8</v>
      </c>
      <c r="H332" s="164">
        <f t="shared" si="22"/>
        <v>10223.129999999997</v>
      </c>
      <c r="I332" s="165">
        <f t="shared" si="21"/>
        <v>1595.7100000000028</v>
      </c>
      <c r="J332" s="177">
        <f t="shared" si="20"/>
        <v>348.94110644766999</v>
      </c>
      <c r="K332" s="518"/>
      <c r="L332" s="519"/>
    </row>
    <row r="333" spans="1:12">
      <c r="A333" s="298">
        <v>311</v>
      </c>
      <c r="B333" s="492" t="s">
        <v>152</v>
      </c>
      <c r="C333" s="493"/>
      <c r="D333" s="300">
        <f t="shared" si="24"/>
        <v>60</v>
      </c>
      <c r="E333" s="197">
        <v>33.869999999999997</v>
      </c>
      <c r="F333" s="164">
        <f t="shared" si="23"/>
        <v>33.471999999999994</v>
      </c>
      <c r="G333" s="165" t="s">
        <v>8</v>
      </c>
      <c r="H333" s="164">
        <f t="shared" si="22"/>
        <v>10256.601999999997</v>
      </c>
      <c r="I333" s="165">
        <f t="shared" si="21"/>
        <v>1562.238000000003</v>
      </c>
      <c r="J333" s="177">
        <f t="shared" si="20"/>
        <v>349.66777359511076</v>
      </c>
      <c r="K333" s="518"/>
      <c r="L333" s="519"/>
    </row>
    <row r="334" spans="1:12">
      <c r="A334" s="298">
        <v>312</v>
      </c>
      <c r="B334" s="492" t="s">
        <v>152</v>
      </c>
      <c r="C334" s="493"/>
      <c r="D334" s="300">
        <f t="shared" si="24"/>
        <v>59</v>
      </c>
      <c r="E334" s="197">
        <v>33.67</v>
      </c>
      <c r="F334" s="164">
        <f t="shared" si="23"/>
        <v>33.271999999999998</v>
      </c>
      <c r="G334" s="165" t="s">
        <v>8</v>
      </c>
      <c r="H334" s="164">
        <f t="shared" si="22"/>
        <v>10289.873999999998</v>
      </c>
      <c r="I334" s="165">
        <f t="shared" si="21"/>
        <v>1528.9660000000022</v>
      </c>
      <c r="J334" s="177">
        <f t="shared" ref="J334:J342" si="25">$G$7+(H334*$C$8*$G$10/1000)</f>
        <v>350.39009880213899</v>
      </c>
      <c r="K334" s="518"/>
      <c r="L334" s="519"/>
    </row>
    <row r="335" spans="1:12">
      <c r="A335" s="298">
        <v>313</v>
      </c>
      <c r="B335" s="492" t="s">
        <v>152</v>
      </c>
      <c r="C335" s="493"/>
      <c r="D335" s="300">
        <f t="shared" si="24"/>
        <v>58</v>
      </c>
      <c r="E335" s="197">
        <v>33.770000000000003</v>
      </c>
      <c r="F335" s="164">
        <f t="shared" si="23"/>
        <v>33.372</v>
      </c>
      <c r="G335" s="165" t="s">
        <v>8</v>
      </c>
      <c r="H335" s="164">
        <f t="shared" si="22"/>
        <v>10323.245999999997</v>
      </c>
      <c r="I335" s="165">
        <f t="shared" si="21"/>
        <v>1495.5940000000028</v>
      </c>
      <c r="J335" s="177">
        <f t="shared" si="25"/>
        <v>351.11459497937358</v>
      </c>
      <c r="K335" s="518"/>
      <c r="L335" s="519"/>
    </row>
    <row r="336" spans="1:12">
      <c r="A336" s="298">
        <v>314</v>
      </c>
      <c r="B336" s="492" t="s">
        <v>152</v>
      </c>
      <c r="C336" s="493"/>
      <c r="D336" s="300">
        <f t="shared" si="24"/>
        <v>57</v>
      </c>
      <c r="E336" s="197">
        <v>33.65</v>
      </c>
      <c r="F336" s="164">
        <f t="shared" si="23"/>
        <v>33.251999999999995</v>
      </c>
      <c r="G336" s="165" t="s">
        <v>8</v>
      </c>
      <c r="H336" s="164">
        <f t="shared" si="22"/>
        <v>10356.497999999998</v>
      </c>
      <c r="I336" s="165">
        <f t="shared" si="21"/>
        <v>1462.3420000000024</v>
      </c>
      <c r="J336" s="177">
        <f t="shared" si="25"/>
        <v>351.83648599236051</v>
      </c>
      <c r="K336" s="518"/>
      <c r="L336" s="519"/>
    </row>
    <row r="337" spans="1:13">
      <c r="A337" s="298">
        <v>315</v>
      </c>
      <c r="B337" s="492" t="s">
        <v>152</v>
      </c>
      <c r="C337" s="493"/>
      <c r="D337" s="300">
        <f t="shared" si="24"/>
        <v>56</v>
      </c>
      <c r="E337" s="197">
        <v>33.729999999999997</v>
      </c>
      <c r="F337" s="164">
        <f t="shared" si="23"/>
        <v>33.331999999999994</v>
      </c>
      <c r="G337" s="165" t="s">
        <v>8</v>
      </c>
      <c r="H337" s="164">
        <f t="shared" si="22"/>
        <v>10389.829999999998</v>
      </c>
      <c r="I337" s="165">
        <f t="shared" si="21"/>
        <v>1429.010000000002</v>
      </c>
      <c r="J337" s="177">
        <f t="shared" si="25"/>
        <v>352.5601137815126</v>
      </c>
      <c r="K337" s="518"/>
      <c r="L337" s="519"/>
    </row>
    <row r="338" spans="1:13">
      <c r="A338" s="298">
        <v>316</v>
      </c>
      <c r="B338" s="492" t="s">
        <v>152</v>
      </c>
      <c r="C338" s="493"/>
      <c r="D338" s="300">
        <f t="shared" si="24"/>
        <v>55</v>
      </c>
      <c r="E338" s="197">
        <v>33.83</v>
      </c>
      <c r="F338" s="164">
        <f t="shared" si="23"/>
        <v>33.431999999999995</v>
      </c>
      <c r="G338" s="165" t="s">
        <v>8</v>
      </c>
      <c r="H338" s="164">
        <f t="shared" si="22"/>
        <v>10423.261999999999</v>
      </c>
      <c r="I338" s="165">
        <f t="shared" si="21"/>
        <v>1395.5780000000013</v>
      </c>
      <c r="J338" s="177">
        <f t="shared" si="25"/>
        <v>353.28591254087087</v>
      </c>
      <c r="K338" s="518"/>
      <c r="L338" s="519"/>
    </row>
    <row r="339" spans="1:13">
      <c r="A339" s="298">
        <v>317</v>
      </c>
      <c r="B339" s="492" t="s">
        <v>152</v>
      </c>
      <c r="C339" s="493"/>
      <c r="D339" s="300">
        <f t="shared" si="24"/>
        <v>54</v>
      </c>
      <c r="E339" s="197">
        <v>31.63</v>
      </c>
      <c r="F339" s="164">
        <f t="shared" si="23"/>
        <v>31.231999999999999</v>
      </c>
      <c r="G339" s="165" t="s">
        <v>8</v>
      </c>
      <c r="H339" s="164">
        <f t="shared" si="22"/>
        <v>10454.493999999999</v>
      </c>
      <c r="I339" s="165">
        <f t="shared" si="21"/>
        <v>1364.3460000000014</v>
      </c>
      <c r="J339" s="177">
        <f t="shared" si="25"/>
        <v>353.96394995569142</v>
      </c>
      <c r="K339" s="518"/>
      <c r="L339" s="519"/>
    </row>
    <row r="340" spans="1:13">
      <c r="A340" s="298">
        <v>318</v>
      </c>
      <c r="B340" s="492" t="s">
        <v>152</v>
      </c>
      <c r="C340" s="493"/>
      <c r="D340" s="300">
        <f t="shared" si="24"/>
        <v>53</v>
      </c>
      <c r="E340" s="197">
        <v>31.75</v>
      </c>
      <c r="F340" s="164">
        <f t="shared" si="23"/>
        <v>31.352</v>
      </c>
      <c r="G340" s="165" t="s">
        <v>8</v>
      </c>
      <c r="H340" s="164">
        <f t="shared" si="22"/>
        <v>10485.846</v>
      </c>
      <c r="I340" s="165">
        <f t="shared" si="21"/>
        <v>1332.9940000000006</v>
      </c>
      <c r="J340" s="177">
        <f t="shared" si="25"/>
        <v>354.64459253475934</v>
      </c>
      <c r="K340" s="518"/>
      <c r="L340" s="519"/>
    </row>
    <row r="341" spans="1:13">
      <c r="A341" s="298">
        <v>319</v>
      </c>
      <c r="B341" s="492" t="s">
        <v>152</v>
      </c>
      <c r="C341" s="493"/>
      <c r="D341" s="300">
        <f t="shared" si="24"/>
        <v>52</v>
      </c>
      <c r="E341" s="197">
        <v>33.47</v>
      </c>
      <c r="F341" s="164">
        <f t="shared" si="23"/>
        <v>33.071999999999996</v>
      </c>
      <c r="G341" s="165" t="s">
        <v>8</v>
      </c>
      <c r="H341" s="164">
        <f t="shared" si="22"/>
        <v>10518.918</v>
      </c>
      <c r="I341" s="165">
        <f t="shared" si="21"/>
        <v>1299.9220000000005</v>
      </c>
      <c r="J341" s="177">
        <f t="shared" si="25"/>
        <v>355.36257580137516</v>
      </c>
    </row>
    <row r="342" spans="1:13" ht="13.5" thickBot="1">
      <c r="A342" s="298">
        <v>320</v>
      </c>
      <c r="B342" s="492" t="s">
        <v>152</v>
      </c>
      <c r="C342" s="493"/>
      <c r="D342" s="300">
        <f>D341-1</f>
        <v>51</v>
      </c>
      <c r="E342" s="197">
        <v>33.479999999999997</v>
      </c>
      <c r="F342" s="283">
        <f t="shared" ref="F342:F387" si="26">E342-($C$10)</f>
        <v>33.081999999999994</v>
      </c>
      <c r="G342" s="165" t="s">
        <v>8</v>
      </c>
      <c r="H342" s="164">
        <f t="shared" ref="H342:H344" si="27">IF(G342="IN",H341+F342,H341)</f>
        <v>10552</v>
      </c>
      <c r="I342" s="165">
        <f t="shared" si="21"/>
        <v>1266.8400000000001</v>
      </c>
      <c r="J342" s="177">
        <f t="shared" si="25"/>
        <v>356.08077616501146</v>
      </c>
    </row>
    <row r="343" spans="1:13" ht="13.5" thickBot="1">
      <c r="A343" s="298">
        <v>321</v>
      </c>
      <c r="B343" s="492" t="s">
        <v>152</v>
      </c>
      <c r="C343" s="493"/>
      <c r="D343" s="300">
        <f>D342-1</f>
        <v>50</v>
      </c>
      <c r="E343" s="197">
        <v>33.5</v>
      </c>
      <c r="F343" s="283">
        <f t="shared" si="26"/>
        <v>33.101999999999997</v>
      </c>
      <c r="G343" s="165" t="s">
        <v>8</v>
      </c>
      <c r="H343" s="164">
        <f t="shared" si="27"/>
        <v>10585.102000000001</v>
      </c>
      <c r="I343" s="165">
        <f t="shared" ref="I343:I387" si="28">IF(H343="","",$K$6-H343)</f>
        <v>1233.7379999999994</v>
      </c>
      <c r="J343" s="177">
        <f t="shared" ref="J343:J351" si="29">$G$7+(H343*$C$8*$G$10/1000)</f>
        <v>356.79941072268912</v>
      </c>
      <c r="K343" s="229" t="s">
        <v>124</v>
      </c>
      <c r="L343" s="182">
        <f>$I$346</f>
        <v>1214.0772500000003</v>
      </c>
      <c r="M343" t="s">
        <v>119</v>
      </c>
    </row>
    <row r="344" spans="1:13" ht="12.6" customHeight="1">
      <c r="A344" s="538" t="s">
        <v>74</v>
      </c>
      <c r="B344" s="541" t="s">
        <v>150</v>
      </c>
      <c r="C344" s="544" t="s">
        <v>72</v>
      </c>
      <c r="D344" s="545"/>
      <c r="E344" s="235">
        <v>6.21</v>
      </c>
      <c r="F344" s="235">
        <f>E344-($C$10)</f>
        <v>5.8120000000000003</v>
      </c>
      <c r="G344" s="235" t="s">
        <v>8</v>
      </c>
      <c r="H344" s="238">
        <f t="shared" si="27"/>
        <v>10590.914000000001</v>
      </c>
      <c r="I344" s="238">
        <f>IF(H344="","",$K$6-H344)</f>
        <v>1227.9259999999995</v>
      </c>
      <c r="J344" s="280">
        <f>$G$7+(H344*$C$8*$G$10/1000)</f>
        <v>356.9255875110772</v>
      </c>
      <c r="K344" s="548" t="s">
        <v>120</v>
      </c>
      <c r="L344" s="549"/>
      <c r="M344" t="s">
        <v>108</v>
      </c>
    </row>
    <row r="345" spans="1:13" ht="12.95" customHeight="1" thickBot="1">
      <c r="A345" s="539"/>
      <c r="B345" s="542"/>
      <c r="C345" s="552" t="s">
        <v>73</v>
      </c>
      <c r="D345" s="553"/>
      <c r="E345" s="234">
        <v>5.38</v>
      </c>
      <c r="F345" s="234">
        <f>E345</f>
        <v>5.38</v>
      </c>
      <c r="G345" s="234" t="s">
        <v>8</v>
      </c>
      <c r="H345" s="234">
        <f>IF(G345="IN",H344+F345,H344)</f>
        <v>10596.294</v>
      </c>
      <c r="I345" s="279">
        <f>IF(H345="","",$K$6-H345)</f>
        <v>1222.5460000000003</v>
      </c>
      <c r="J345" s="281">
        <f>$G$7+(H345*$C$8*$G$10/1000)</f>
        <v>357.04238570817415</v>
      </c>
      <c r="K345" s="550"/>
      <c r="L345" s="551"/>
      <c r="M345" t="s">
        <v>146</v>
      </c>
    </row>
    <row r="346" spans="1:13" ht="13.5" thickBot="1">
      <c r="A346" s="539"/>
      <c r="B346" s="542"/>
      <c r="C346" s="554" t="s">
        <v>76</v>
      </c>
      <c r="D346" s="555"/>
      <c r="E346" s="237">
        <v>8.46875</v>
      </c>
      <c r="F346" s="237">
        <f>E346</f>
        <v>8.46875</v>
      </c>
      <c r="G346" s="237" t="s">
        <v>8</v>
      </c>
      <c r="H346" s="237">
        <f>IF(G346="IN",H345+F346,H345)</f>
        <v>10604.76275</v>
      </c>
      <c r="I346" s="342">
        <f>IF(H346="","",$K$6-H346)</f>
        <v>1214.0772500000003</v>
      </c>
      <c r="J346" s="343">
        <f>$G$7+(H346*$C$8*$G$10/1000)</f>
        <v>357.22623974751718</v>
      </c>
      <c r="K346" s="550"/>
      <c r="L346" s="551"/>
      <c r="M346" t="s">
        <v>147</v>
      </c>
    </row>
    <row r="347" spans="1:13" ht="12.6" customHeight="1">
      <c r="A347" s="539"/>
      <c r="B347" s="542"/>
      <c r="C347" s="552" t="s">
        <v>73</v>
      </c>
      <c r="D347" s="553"/>
      <c r="E347" s="234">
        <v>11.85</v>
      </c>
      <c r="F347" s="234">
        <f>E347</f>
        <v>11.85</v>
      </c>
      <c r="G347" s="234" t="s">
        <v>8</v>
      </c>
      <c r="H347" s="234">
        <f>IF(G347="IN",H346+F347,H346)</f>
        <v>10616.61275</v>
      </c>
      <c r="I347" s="279">
        <f>IF(H347="","",$K$6-H347)</f>
        <v>1202.2272499999999</v>
      </c>
      <c r="J347" s="281">
        <f>$G$7+(H347*$C$8*$G$10/1000)</f>
        <v>357.48349971695956</v>
      </c>
      <c r="K347" s="556" t="s">
        <v>149</v>
      </c>
      <c r="L347" s="557"/>
      <c r="M347" t="s">
        <v>109</v>
      </c>
    </row>
    <row r="348" spans="1:13" ht="12.95" customHeight="1" thickBot="1">
      <c r="A348" s="540"/>
      <c r="B348" s="543"/>
      <c r="C348" s="558" t="s">
        <v>72</v>
      </c>
      <c r="D348" s="559"/>
      <c r="E348" s="236">
        <v>5.81</v>
      </c>
      <c r="F348" s="236">
        <f>E348</f>
        <v>5.81</v>
      </c>
      <c r="G348" s="236" t="s">
        <v>8</v>
      </c>
      <c r="H348" s="236">
        <f>IF(G348="IN",H347+F348,H347)</f>
        <v>10622.42275</v>
      </c>
      <c r="I348" s="239">
        <f>IF(H348="","",$K$6-H348)</f>
        <v>1196.4172500000004</v>
      </c>
      <c r="J348" s="278">
        <f>$G$7+(H348*$C$8*$G$10/1000)</f>
        <v>357.60963308594353</v>
      </c>
      <c r="K348" s="618"/>
      <c r="L348" s="619"/>
      <c r="M348" t="s">
        <v>148</v>
      </c>
    </row>
    <row r="349" spans="1:13">
      <c r="A349" s="303">
        <v>322</v>
      </c>
      <c r="B349" s="492" t="s">
        <v>152</v>
      </c>
      <c r="C349" s="493"/>
      <c r="D349" s="300">
        <f>D343-1</f>
        <v>49</v>
      </c>
      <c r="E349" s="197">
        <v>33.33</v>
      </c>
      <c r="F349" s="283">
        <f t="shared" si="26"/>
        <v>32.931999999999995</v>
      </c>
      <c r="G349" s="165" t="s">
        <v>8</v>
      </c>
      <c r="H349" s="164">
        <f t="shared" ref="H349:H352" si="30">IF(G349="IN",H348+F349,H348)</f>
        <v>10655.35475</v>
      </c>
      <c r="I349" s="165">
        <f t="shared" si="28"/>
        <v>1163.4852499999997</v>
      </c>
      <c r="J349" s="177">
        <f t="shared" si="29"/>
        <v>358.3245769942705</v>
      </c>
      <c r="K349" s="620" t="s">
        <v>174</v>
      </c>
      <c r="L349" s="621"/>
    </row>
    <row r="350" spans="1:13">
      <c r="A350" s="303">
        <v>323</v>
      </c>
      <c r="B350" s="492" t="s">
        <v>152</v>
      </c>
      <c r="C350" s="493"/>
      <c r="D350" s="300">
        <f t="shared" ref="D350:D382" si="31">D349-1</f>
        <v>48</v>
      </c>
      <c r="E350" s="197">
        <v>33.770000000000003</v>
      </c>
      <c r="F350" s="283">
        <f t="shared" si="26"/>
        <v>33.372</v>
      </c>
      <c r="G350" s="165" t="s">
        <v>8</v>
      </c>
      <c r="H350" s="164">
        <f t="shared" si="30"/>
        <v>10688.72675</v>
      </c>
      <c r="I350" s="165">
        <f t="shared" si="28"/>
        <v>1130.1132500000003</v>
      </c>
      <c r="J350" s="177">
        <f t="shared" si="29"/>
        <v>359.04907317150497</v>
      </c>
      <c r="K350" s="622"/>
      <c r="L350" s="623"/>
    </row>
    <row r="351" spans="1:13" ht="13.5" thickBot="1">
      <c r="A351" s="303">
        <v>324</v>
      </c>
      <c r="B351" s="492" t="s">
        <v>152</v>
      </c>
      <c r="C351" s="493"/>
      <c r="D351" s="300">
        <f t="shared" si="31"/>
        <v>47</v>
      </c>
      <c r="E351" s="197">
        <v>33.450000000000003</v>
      </c>
      <c r="F351" s="283">
        <f t="shared" si="26"/>
        <v>33.052</v>
      </c>
      <c r="G351" s="165" t="s">
        <v>8</v>
      </c>
      <c r="H351" s="164">
        <f t="shared" si="30"/>
        <v>10721.778749999999</v>
      </c>
      <c r="I351" s="165">
        <f t="shared" si="28"/>
        <v>1097.0612500000007</v>
      </c>
      <c r="J351" s="177">
        <f t="shared" si="29"/>
        <v>359.76662224407949</v>
      </c>
      <c r="K351" s="624"/>
      <c r="L351" s="625"/>
    </row>
    <row r="352" spans="1:13" ht="13.5" thickBot="1">
      <c r="A352" s="303">
        <v>325</v>
      </c>
      <c r="B352" s="492" t="s">
        <v>152</v>
      </c>
      <c r="C352" s="493"/>
      <c r="D352" s="300">
        <f t="shared" si="31"/>
        <v>46</v>
      </c>
      <c r="E352" s="197">
        <v>33.26</v>
      </c>
      <c r="F352" s="283">
        <f t="shared" si="26"/>
        <v>32.861999999999995</v>
      </c>
      <c r="G352" s="165" t="s">
        <v>8</v>
      </c>
      <c r="H352" s="164">
        <f t="shared" si="30"/>
        <v>10754.640749999999</v>
      </c>
      <c r="I352" s="165">
        <f t="shared" si="28"/>
        <v>1064.1992500000015</v>
      </c>
      <c r="J352" s="177">
        <f t="shared" ref="J352:J387" si="32">$G$7+(H352*$C$8*$G$10/1000)</f>
        <v>360.48004647326201</v>
      </c>
      <c r="K352" s="616" t="s">
        <v>175</v>
      </c>
      <c r="L352" s="617"/>
    </row>
    <row r="353" spans="1:12" ht="12.6" customHeight="1">
      <c r="A353" s="303">
        <v>326</v>
      </c>
      <c r="B353" s="492" t="s">
        <v>152</v>
      </c>
      <c r="C353" s="493"/>
      <c r="D353" s="300">
        <f t="shared" si="31"/>
        <v>45</v>
      </c>
      <c r="E353" s="197">
        <v>33.29</v>
      </c>
      <c r="F353" s="283">
        <f t="shared" si="26"/>
        <v>32.891999999999996</v>
      </c>
      <c r="G353" s="165" t="s">
        <v>8</v>
      </c>
      <c r="H353" s="164">
        <f t="shared" ref="H353:H387" si="33">IF(G353="IN",H352+F353,H352)</f>
        <v>10787.532749999998</v>
      </c>
      <c r="I353" s="165">
        <f t="shared" si="28"/>
        <v>1031.3072500000017</v>
      </c>
      <c r="J353" s="177">
        <f t="shared" si="32"/>
        <v>361.19412199350654</v>
      </c>
      <c r="K353" s="516"/>
      <c r="L353" s="517"/>
    </row>
    <row r="354" spans="1:12">
      <c r="A354" s="303">
        <v>327</v>
      </c>
      <c r="B354" s="492" t="s">
        <v>152</v>
      </c>
      <c r="C354" s="493"/>
      <c r="D354" s="300">
        <f t="shared" si="31"/>
        <v>44</v>
      </c>
      <c r="E354" s="197">
        <v>33.51</v>
      </c>
      <c r="F354" s="283">
        <f t="shared" si="26"/>
        <v>33.111999999999995</v>
      </c>
      <c r="G354" s="165" t="s">
        <v>8</v>
      </c>
      <c r="H354" s="164">
        <f t="shared" si="33"/>
        <v>10820.644749999998</v>
      </c>
      <c r="I354" s="165">
        <f t="shared" si="28"/>
        <v>998.19525000000249</v>
      </c>
      <c r="J354" s="177">
        <f t="shared" si="32"/>
        <v>361.91297364820474</v>
      </c>
      <c r="K354" s="518"/>
      <c r="L354" s="519"/>
    </row>
    <row r="355" spans="1:12">
      <c r="A355" s="303">
        <v>328</v>
      </c>
      <c r="B355" s="492" t="s">
        <v>152</v>
      </c>
      <c r="C355" s="493"/>
      <c r="D355" s="300">
        <f t="shared" si="31"/>
        <v>43</v>
      </c>
      <c r="E355" s="197">
        <v>33.26</v>
      </c>
      <c r="F355" s="283">
        <f t="shared" si="26"/>
        <v>32.861999999999995</v>
      </c>
      <c r="G355" s="165" t="s">
        <v>8</v>
      </c>
      <c r="H355" s="164">
        <f t="shared" si="33"/>
        <v>10853.506749999997</v>
      </c>
      <c r="I355" s="165">
        <f t="shared" si="28"/>
        <v>965.33325000000332</v>
      </c>
      <c r="J355" s="177">
        <f t="shared" si="32"/>
        <v>362.62639787738726</v>
      </c>
      <c r="K355" s="518"/>
      <c r="L355" s="519"/>
    </row>
    <row r="356" spans="1:12">
      <c r="A356" s="303">
        <v>329</v>
      </c>
      <c r="B356" s="492" t="s">
        <v>152</v>
      </c>
      <c r="C356" s="493"/>
      <c r="D356" s="300">
        <f t="shared" si="31"/>
        <v>42</v>
      </c>
      <c r="E356" s="197">
        <v>33.67</v>
      </c>
      <c r="F356" s="283">
        <f t="shared" si="26"/>
        <v>33.271999999999998</v>
      </c>
      <c r="G356" s="165" t="s">
        <v>8</v>
      </c>
      <c r="H356" s="164">
        <f t="shared" si="33"/>
        <v>10886.778749999998</v>
      </c>
      <c r="I356" s="165">
        <f t="shared" si="28"/>
        <v>932.06125000000247</v>
      </c>
      <c r="J356" s="177">
        <f t="shared" si="32"/>
        <v>363.34872308441561</v>
      </c>
      <c r="K356" s="518"/>
      <c r="L356" s="519"/>
    </row>
    <row r="357" spans="1:12">
      <c r="A357" s="303">
        <v>330</v>
      </c>
      <c r="B357" s="492" t="s">
        <v>152</v>
      </c>
      <c r="C357" s="493"/>
      <c r="D357" s="300">
        <f t="shared" si="31"/>
        <v>41</v>
      </c>
      <c r="E357" s="197">
        <v>33.75</v>
      </c>
      <c r="F357" s="283">
        <f t="shared" si="26"/>
        <v>33.351999999999997</v>
      </c>
      <c r="G357" s="165" t="s">
        <v>8</v>
      </c>
      <c r="H357" s="164">
        <f t="shared" si="33"/>
        <v>10920.130749999998</v>
      </c>
      <c r="I357" s="165">
        <f t="shared" si="28"/>
        <v>898.7092500000017</v>
      </c>
      <c r="J357" s="177">
        <f t="shared" si="32"/>
        <v>364.07278506760883</v>
      </c>
      <c r="K357" s="518"/>
      <c r="L357" s="519"/>
    </row>
    <row r="358" spans="1:12">
      <c r="A358" s="303">
        <v>331</v>
      </c>
      <c r="B358" s="492" t="s">
        <v>152</v>
      </c>
      <c r="C358" s="493"/>
      <c r="D358" s="300">
        <f t="shared" si="31"/>
        <v>40</v>
      </c>
      <c r="E358" s="197">
        <v>31.27</v>
      </c>
      <c r="F358" s="283">
        <f t="shared" si="26"/>
        <v>30.872</v>
      </c>
      <c r="G358" s="165" t="s">
        <v>8</v>
      </c>
      <c r="H358" s="164">
        <f t="shared" si="33"/>
        <v>10951.002749999998</v>
      </c>
      <c r="I358" s="165">
        <f t="shared" si="28"/>
        <v>867.83725000000231</v>
      </c>
      <c r="J358" s="177">
        <f t="shared" si="32"/>
        <v>364.74300698968682</v>
      </c>
      <c r="K358" s="518"/>
      <c r="L358" s="519"/>
    </row>
    <row r="359" spans="1:12">
      <c r="A359" s="303">
        <v>332</v>
      </c>
      <c r="B359" s="492" t="s">
        <v>152</v>
      </c>
      <c r="C359" s="493"/>
      <c r="D359" s="300">
        <f t="shared" si="31"/>
        <v>39</v>
      </c>
      <c r="E359" s="197">
        <v>33.71</v>
      </c>
      <c r="F359" s="283">
        <f t="shared" si="26"/>
        <v>33.311999999999998</v>
      </c>
      <c r="G359" s="165" t="s">
        <v>8</v>
      </c>
      <c r="H359" s="164">
        <f t="shared" si="33"/>
        <v>10984.314749999998</v>
      </c>
      <c r="I359" s="165">
        <f t="shared" si="28"/>
        <v>834.52525000000242</v>
      </c>
      <c r="J359" s="177">
        <f t="shared" si="32"/>
        <v>365.46620058479755</v>
      </c>
      <c r="K359" s="518"/>
      <c r="L359" s="519"/>
    </row>
    <row r="360" spans="1:12">
      <c r="A360" s="303">
        <v>333</v>
      </c>
      <c r="B360" s="492" t="s">
        <v>152</v>
      </c>
      <c r="C360" s="493"/>
      <c r="D360" s="300">
        <f t="shared" si="31"/>
        <v>38</v>
      </c>
      <c r="E360" s="197">
        <v>33.51</v>
      </c>
      <c r="F360" s="283">
        <f t="shared" si="26"/>
        <v>33.111999999999995</v>
      </c>
      <c r="G360" s="165" t="s">
        <v>8</v>
      </c>
      <c r="H360" s="164">
        <f t="shared" si="33"/>
        <v>11017.426749999997</v>
      </c>
      <c r="I360" s="165">
        <f t="shared" si="28"/>
        <v>801.41325000000325</v>
      </c>
      <c r="J360" s="177">
        <f t="shared" si="32"/>
        <v>366.1850522394958</v>
      </c>
      <c r="K360" s="518"/>
      <c r="L360" s="519"/>
    </row>
    <row r="361" spans="1:12">
      <c r="A361" s="303">
        <v>334</v>
      </c>
      <c r="B361" s="492" t="s">
        <v>152</v>
      </c>
      <c r="C361" s="493"/>
      <c r="D361" s="300">
        <f t="shared" si="31"/>
        <v>37</v>
      </c>
      <c r="E361" s="197">
        <v>31.8</v>
      </c>
      <c r="F361" s="283">
        <f t="shared" si="26"/>
        <v>31.402000000000001</v>
      </c>
      <c r="G361" s="165" t="s">
        <v>8</v>
      </c>
      <c r="H361" s="164">
        <f t="shared" si="33"/>
        <v>11048.828749999997</v>
      </c>
      <c r="I361" s="165">
        <f t="shared" si="28"/>
        <v>770.0112500000032</v>
      </c>
      <c r="J361" s="177">
        <f t="shared" si="32"/>
        <v>366.86678030366693</v>
      </c>
      <c r="K361" s="518"/>
      <c r="L361" s="519"/>
    </row>
    <row r="362" spans="1:12">
      <c r="A362" s="303">
        <v>335</v>
      </c>
      <c r="B362" s="492" t="s">
        <v>152</v>
      </c>
      <c r="C362" s="493"/>
      <c r="D362" s="300">
        <f t="shared" si="31"/>
        <v>36</v>
      </c>
      <c r="E362" s="197">
        <v>33.119999999999997</v>
      </c>
      <c r="F362" s="283">
        <f t="shared" si="26"/>
        <v>32.721999999999994</v>
      </c>
      <c r="G362" s="165" t="s">
        <v>8</v>
      </c>
      <c r="H362" s="164">
        <f t="shared" si="33"/>
        <v>11081.550749999997</v>
      </c>
      <c r="I362" s="165">
        <f t="shared" si="28"/>
        <v>737.28925000000345</v>
      </c>
      <c r="J362" s="177">
        <f t="shared" si="32"/>
        <v>367.57716517456072</v>
      </c>
      <c r="K362" s="518"/>
      <c r="L362" s="519"/>
    </row>
    <row r="363" spans="1:12">
      <c r="A363" s="303">
        <v>336</v>
      </c>
      <c r="B363" s="492" t="s">
        <v>152</v>
      </c>
      <c r="C363" s="493"/>
      <c r="D363" s="300">
        <f t="shared" si="31"/>
        <v>35</v>
      </c>
      <c r="E363" s="197">
        <v>33.01</v>
      </c>
      <c r="F363" s="283">
        <f t="shared" si="26"/>
        <v>32.611999999999995</v>
      </c>
      <c r="G363" s="165" t="s">
        <v>8</v>
      </c>
      <c r="H363" s="164">
        <f t="shared" si="33"/>
        <v>11114.162749999996</v>
      </c>
      <c r="I363" s="165">
        <f t="shared" si="28"/>
        <v>704.67725000000428</v>
      </c>
      <c r="J363" s="177">
        <f t="shared" si="32"/>
        <v>368.28516197822762</v>
      </c>
      <c r="K363" s="518"/>
      <c r="L363" s="519"/>
    </row>
    <row r="364" spans="1:12">
      <c r="A364" s="303">
        <v>337</v>
      </c>
      <c r="B364" s="492" t="s">
        <v>152</v>
      </c>
      <c r="C364" s="493"/>
      <c r="D364" s="300">
        <f t="shared" si="31"/>
        <v>34</v>
      </c>
      <c r="E364" s="197">
        <v>33.33</v>
      </c>
      <c r="F364" s="283">
        <f t="shared" si="26"/>
        <v>32.931999999999995</v>
      </c>
      <c r="G364" s="165" t="s">
        <v>8</v>
      </c>
      <c r="H364" s="164">
        <f t="shared" si="33"/>
        <v>11147.094749999997</v>
      </c>
      <c r="I364" s="165">
        <f t="shared" si="28"/>
        <v>671.74525000000358</v>
      </c>
      <c r="J364" s="177">
        <f t="shared" si="32"/>
        <v>369.00010588655459</v>
      </c>
      <c r="K364" s="518"/>
      <c r="L364" s="519"/>
    </row>
    <row r="365" spans="1:12">
      <c r="A365" s="303">
        <v>338</v>
      </c>
      <c r="B365" s="492" t="s">
        <v>152</v>
      </c>
      <c r="C365" s="493"/>
      <c r="D365" s="300">
        <f t="shared" si="31"/>
        <v>33</v>
      </c>
      <c r="E365" s="197">
        <v>33.42</v>
      </c>
      <c r="F365" s="283">
        <f t="shared" si="26"/>
        <v>33.021999999999998</v>
      </c>
      <c r="G365" s="165" t="s">
        <v>8</v>
      </c>
      <c r="H365" s="164">
        <f t="shared" si="33"/>
        <v>11180.116749999997</v>
      </c>
      <c r="I365" s="165">
        <f t="shared" si="28"/>
        <v>638.72325000000274</v>
      </c>
      <c r="J365" s="177">
        <f t="shared" si="32"/>
        <v>369.71700366806721</v>
      </c>
      <c r="K365" s="518"/>
      <c r="L365" s="519"/>
    </row>
    <row r="366" spans="1:12">
      <c r="A366" s="303">
        <v>339</v>
      </c>
      <c r="B366" s="492" t="s">
        <v>152</v>
      </c>
      <c r="C366" s="493"/>
      <c r="D366" s="300">
        <f t="shared" si="31"/>
        <v>32</v>
      </c>
      <c r="E366" s="197">
        <v>33.909999999999997</v>
      </c>
      <c r="F366" s="283">
        <f t="shared" si="26"/>
        <v>33.511999999999993</v>
      </c>
      <c r="G366" s="165" t="s">
        <v>8</v>
      </c>
      <c r="H366" s="164">
        <f t="shared" si="33"/>
        <v>11213.628749999998</v>
      </c>
      <c r="I366" s="165">
        <f t="shared" si="28"/>
        <v>605.21125000000211</v>
      </c>
      <c r="J366" s="177">
        <f t="shared" si="32"/>
        <v>370.44453920359058</v>
      </c>
      <c r="K366" s="240"/>
      <c r="L366" s="241"/>
    </row>
    <row r="367" spans="1:12">
      <c r="A367" s="303">
        <v>340</v>
      </c>
      <c r="B367" s="492" t="s">
        <v>152</v>
      </c>
      <c r="C367" s="493"/>
      <c r="D367" s="300">
        <f t="shared" si="31"/>
        <v>31</v>
      </c>
      <c r="E367" s="197">
        <v>32.72</v>
      </c>
      <c r="F367" s="283">
        <f t="shared" si="26"/>
        <v>32.321999999999996</v>
      </c>
      <c r="G367" s="165" t="s">
        <v>8</v>
      </c>
      <c r="H367" s="164">
        <f t="shared" si="33"/>
        <v>11245.950749999998</v>
      </c>
      <c r="I367" s="165">
        <f t="shared" si="28"/>
        <v>572.88925000000199</v>
      </c>
      <c r="J367" s="177">
        <f t="shared" si="32"/>
        <v>371.14624019365925</v>
      </c>
      <c r="K367" s="240"/>
      <c r="L367" s="241"/>
    </row>
    <row r="368" spans="1:12">
      <c r="A368" s="303">
        <v>341</v>
      </c>
      <c r="B368" s="492" t="s">
        <v>152</v>
      </c>
      <c r="C368" s="493"/>
      <c r="D368" s="300">
        <f t="shared" si="31"/>
        <v>30</v>
      </c>
      <c r="E368" s="197">
        <v>33.92</v>
      </c>
      <c r="F368" s="283">
        <f t="shared" si="26"/>
        <v>33.521999999999998</v>
      </c>
      <c r="G368" s="165" t="s">
        <v>8</v>
      </c>
      <c r="H368" s="164">
        <f t="shared" si="33"/>
        <v>11279.472749999999</v>
      </c>
      <c r="I368" s="165">
        <f t="shared" si="28"/>
        <v>539.36725000000115</v>
      </c>
      <c r="J368" s="177">
        <f t="shared" si="32"/>
        <v>371.87399282620322</v>
      </c>
      <c r="K368" s="240"/>
      <c r="L368" s="241"/>
    </row>
    <row r="369" spans="1:13">
      <c r="A369" s="303">
        <v>342</v>
      </c>
      <c r="B369" s="492" t="s">
        <v>152</v>
      </c>
      <c r="C369" s="493"/>
      <c r="D369" s="300">
        <f t="shared" si="31"/>
        <v>29</v>
      </c>
      <c r="E369" s="197">
        <v>33.69</v>
      </c>
      <c r="F369" s="283">
        <f t="shared" si="26"/>
        <v>33.291999999999994</v>
      </c>
      <c r="G369" s="165" t="s">
        <v>8</v>
      </c>
      <c r="H369" s="164">
        <f t="shared" si="33"/>
        <v>11312.764749999998</v>
      </c>
      <c r="I369" s="165">
        <f t="shared" si="28"/>
        <v>506.07525000000169</v>
      </c>
      <c r="J369" s="177">
        <f t="shared" si="32"/>
        <v>372.5967522272727</v>
      </c>
      <c r="K369" s="560"/>
      <c r="L369" s="519"/>
    </row>
    <row r="370" spans="1:13">
      <c r="A370" s="303">
        <v>343</v>
      </c>
      <c r="B370" s="492" t="s">
        <v>152</v>
      </c>
      <c r="C370" s="493"/>
      <c r="D370" s="300">
        <f t="shared" si="31"/>
        <v>28</v>
      </c>
      <c r="E370" s="197">
        <v>33.74</v>
      </c>
      <c r="F370" s="283">
        <f t="shared" si="26"/>
        <v>33.341999999999999</v>
      </c>
      <c r="G370" s="165" t="s">
        <v>8</v>
      </c>
      <c r="H370" s="164">
        <f t="shared" si="33"/>
        <v>11346.106749999999</v>
      </c>
      <c r="I370" s="165">
        <f t="shared" si="28"/>
        <v>472.73325000000114</v>
      </c>
      <c r="J370" s="177">
        <f t="shared" si="32"/>
        <v>373.32059711344539</v>
      </c>
      <c r="K370" s="560"/>
      <c r="L370" s="519"/>
    </row>
    <row r="371" spans="1:13">
      <c r="A371" s="303">
        <v>344</v>
      </c>
      <c r="B371" s="492" t="s">
        <v>152</v>
      </c>
      <c r="C371" s="493"/>
      <c r="D371" s="300">
        <f t="shared" si="31"/>
        <v>27</v>
      </c>
      <c r="E371" s="197">
        <v>32.99</v>
      </c>
      <c r="F371" s="283">
        <f t="shared" si="26"/>
        <v>32.591999999999999</v>
      </c>
      <c r="G371" s="165" t="s">
        <v>8</v>
      </c>
      <c r="H371" s="164">
        <f t="shared" si="33"/>
        <v>11378.69875</v>
      </c>
      <c r="I371" s="165">
        <f t="shared" si="28"/>
        <v>440.14125000000058</v>
      </c>
      <c r="J371" s="177">
        <f t="shared" si="32"/>
        <v>374.0281597230711</v>
      </c>
      <c r="K371" s="560"/>
      <c r="L371" s="519"/>
    </row>
    <row r="372" spans="1:13">
      <c r="A372" s="303">
        <v>345</v>
      </c>
      <c r="B372" s="492" t="s">
        <v>152</v>
      </c>
      <c r="C372" s="493"/>
      <c r="D372" s="300">
        <f t="shared" si="31"/>
        <v>26</v>
      </c>
      <c r="E372" s="197">
        <v>33.42</v>
      </c>
      <c r="F372" s="283">
        <f t="shared" si="26"/>
        <v>33.021999999999998</v>
      </c>
      <c r="G372" s="165" t="s">
        <v>8</v>
      </c>
      <c r="H372" s="164">
        <f t="shared" si="33"/>
        <v>11411.72075</v>
      </c>
      <c r="I372" s="165">
        <f t="shared" si="28"/>
        <v>407.11924999999974</v>
      </c>
      <c r="J372" s="177">
        <f t="shared" si="32"/>
        <v>374.74505750458371</v>
      </c>
      <c r="K372" s="560"/>
      <c r="L372" s="519"/>
    </row>
    <row r="373" spans="1:13">
      <c r="A373" s="303">
        <v>346</v>
      </c>
      <c r="B373" s="492" t="s">
        <v>152</v>
      </c>
      <c r="C373" s="493"/>
      <c r="D373" s="300">
        <f t="shared" si="31"/>
        <v>25</v>
      </c>
      <c r="E373" s="197">
        <v>32.89</v>
      </c>
      <c r="F373" s="283">
        <f t="shared" si="26"/>
        <v>32.491999999999997</v>
      </c>
      <c r="G373" s="165" t="s">
        <v>8</v>
      </c>
      <c r="H373" s="164">
        <f t="shared" si="33"/>
        <v>11444.212750000001</v>
      </c>
      <c r="I373" s="165">
        <f t="shared" si="28"/>
        <v>374.62724999999955</v>
      </c>
      <c r="J373" s="177">
        <f t="shared" si="32"/>
        <v>375.45044914400313</v>
      </c>
      <c r="K373" s="560"/>
      <c r="L373" s="519"/>
    </row>
    <row r="374" spans="1:13">
      <c r="A374" s="303">
        <v>347</v>
      </c>
      <c r="B374" s="492" t="s">
        <v>152</v>
      </c>
      <c r="C374" s="493"/>
      <c r="D374" s="300">
        <f t="shared" si="31"/>
        <v>24</v>
      </c>
      <c r="E374" s="197">
        <v>33.450000000000003</v>
      </c>
      <c r="F374" s="283">
        <f t="shared" si="26"/>
        <v>33.052</v>
      </c>
      <c r="G374" s="165" t="s">
        <v>8</v>
      </c>
      <c r="H374" s="164">
        <f t="shared" si="33"/>
        <v>11477.26475</v>
      </c>
      <c r="I374" s="165">
        <f t="shared" si="28"/>
        <v>341.57524999999987</v>
      </c>
      <c r="J374" s="177">
        <f t="shared" si="32"/>
        <v>376.16799821657759</v>
      </c>
      <c r="K374" s="560"/>
      <c r="L374" s="519"/>
    </row>
    <row r="375" spans="1:13">
      <c r="A375" s="303">
        <v>348</v>
      </c>
      <c r="B375" s="492" t="s">
        <v>152</v>
      </c>
      <c r="C375" s="493"/>
      <c r="D375" s="300">
        <f t="shared" si="31"/>
        <v>23</v>
      </c>
      <c r="E375" s="197">
        <v>33.43</v>
      </c>
      <c r="F375" s="283">
        <f t="shared" si="26"/>
        <v>33.031999999999996</v>
      </c>
      <c r="G375" s="165" t="s">
        <v>8</v>
      </c>
      <c r="H375" s="164">
        <f t="shared" si="33"/>
        <v>11510.29675</v>
      </c>
      <c r="I375" s="165">
        <f t="shared" si="28"/>
        <v>308.54325000000063</v>
      </c>
      <c r="J375" s="177">
        <f t="shared" si="32"/>
        <v>376.8851130951108</v>
      </c>
      <c r="L375" s="158"/>
    </row>
    <row r="376" spans="1:13" ht="13.5" thickBot="1">
      <c r="A376" s="303">
        <v>349</v>
      </c>
      <c r="B376" s="492" t="s">
        <v>152</v>
      </c>
      <c r="C376" s="493"/>
      <c r="D376" s="300">
        <f t="shared" si="31"/>
        <v>22</v>
      </c>
      <c r="E376" s="197">
        <v>33.24</v>
      </c>
      <c r="F376" s="283">
        <f t="shared" si="26"/>
        <v>32.841999999999999</v>
      </c>
      <c r="G376" s="165" t="s">
        <v>8</v>
      </c>
      <c r="H376" s="164">
        <f t="shared" si="33"/>
        <v>11543.13875</v>
      </c>
      <c r="I376" s="165">
        <f t="shared" si="28"/>
        <v>275.70125000000007</v>
      </c>
      <c r="J376" s="177">
        <f t="shared" si="32"/>
        <v>377.59810313025213</v>
      </c>
      <c r="K376" s="560"/>
      <c r="L376" s="519"/>
    </row>
    <row r="377" spans="1:13" ht="13.5" thickBot="1">
      <c r="A377" s="303">
        <v>350</v>
      </c>
      <c r="B377" s="492" t="s">
        <v>152</v>
      </c>
      <c r="C377" s="493"/>
      <c r="D377" s="300">
        <f t="shared" si="31"/>
        <v>21</v>
      </c>
      <c r="E377" s="197">
        <v>33.49</v>
      </c>
      <c r="F377" s="283">
        <f t="shared" si="26"/>
        <v>33.091999999999999</v>
      </c>
      <c r="G377" s="165" t="s">
        <v>8</v>
      </c>
      <c r="H377" s="164">
        <f t="shared" si="33"/>
        <v>11576.230750000001</v>
      </c>
      <c r="I377" s="165">
        <f t="shared" si="28"/>
        <v>242.60924999999952</v>
      </c>
      <c r="J377" s="177">
        <f t="shared" si="32"/>
        <v>378.31652059090914</v>
      </c>
      <c r="K377" s="581" t="s">
        <v>173</v>
      </c>
      <c r="L377" s="582"/>
      <c r="M377" t="s">
        <v>170</v>
      </c>
    </row>
    <row r="378" spans="1:13" ht="13.5" thickBot="1">
      <c r="A378" s="303">
        <v>351</v>
      </c>
      <c r="B378" s="492" t="s">
        <v>152</v>
      </c>
      <c r="C378" s="493"/>
      <c r="D378" s="300">
        <f t="shared" si="31"/>
        <v>20</v>
      </c>
      <c r="E378" s="197">
        <v>33.19</v>
      </c>
      <c r="F378" s="283">
        <f t="shared" si="26"/>
        <v>32.791999999999994</v>
      </c>
      <c r="G378" s="165" t="s">
        <v>8</v>
      </c>
      <c r="H378" s="164">
        <f t="shared" si="33"/>
        <v>11609.02275</v>
      </c>
      <c r="I378" s="165">
        <f t="shared" si="28"/>
        <v>209.81725000000006</v>
      </c>
      <c r="J378" s="177">
        <f t="shared" si="32"/>
        <v>379.02842514094732</v>
      </c>
      <c r="L378" s="158"/>
      <c r="M378" t="s">
        <v>153</v>
      </c>
    </row>
    <row r="379" spans="1:13" ht="15.75" thickBot="1">
      <c r="A379" s="303">
        <v>352</v>
      </c>
      <c r="B379" s="492" t="s">
        <v>152</v>
      </c>
      <c r="C379" s="493"/>
      <c r="D379" s="300">
        <f t="shared" si="31"/>
        <v>19</v>
      </c>
      <c r="E379" s="197">
        <v>33.6</v>
      </c>
      <c r="F379" s="283">
        <f t="shared" si="26"/>
        <v>33.201999999999998</v>
      </c>
      <c r="G379" s="165" t="s">
        <v>8</v>
      </c>
      <c r="H379" s="164">
        <f t="shared" si="33"/>
        <v>11642.224749999999</v>
      </c>
      <c r="I379" s="165">
        <f t="shared" si="28"/>
        <v>176.61525000000074</v>
      </c>
      <c r="J379" s="177">
        <f t="shared" si="32"/>
        <v>379.74923066883116</v>
      </c>
      <c r="K379" s="585" t="s">
        <v>154</v>
      </c>
      <c r="L379" s="586"/>
      <c r="M379" t="s">
        <v>177</v>
      </c>
    </row>
    <row r="380" spans="1:13" ht="13.5" thickBot="1">
      <c r="A380" s="303">
        <v>353</v>
      </c>
      <c r="B380" s="492" t="s">
        <v>152</v>
      </c>
      <c r="C380" s="493"/>
      <c r="D380" s="300">
        <f t="shared" si="31"/>
        <v>18</v>
      </c>
      <c r="E380" s="197">
        <v>33.880000000000003</v>
      </c>
      <c r="F380" s="283">
        <f t="shared" si="26"/>
        <v>33.481999999999999</v>
      </c>
      <c r="G380" s="165" t="s">
        <v>8</v>
      </c>
      <c r="H380" s="164">
        <f t="shared" si="33"/>
        <v>11675.706749999999</v>
      </c>
      <c r="I380" s="165">
        <f t="shared" si="28"/>
        <v>143.13325000000077</v>
      </c>
      <c r="J380" s="177">
        <f t="shared" si="32"/>
        <v>380.47611491329258</v>
      </c>
      <c r="K380" s="243" t="s">
        <v>91</v>
      </c>
      <c r="L380" s="163">
        <f>F14</f>
        <v>19.55</v>
      </c>
    </row>
    <row r="381" spans="1:13" ht="13.5" thickBot="1">
      <c r="A381" s="303">
        <v>354</v>
      </c>
      <c r="B381" s="492" t="s">
        <v>152</v>
      </c>
      <c r="C381" s="493"/>
      <c r="D381" s="300">
        <f t="shared" si="31"/>
        <v>17</v>
      </c>
      <c r="E381" s="197">
        <v>33.29</v>
      </c>
      <c r="F381" s="283">
        <f t="shared" si="26"/>
        <v>32.891999999999996</v>
      </c>
      <c r="G381" s="165" t="s">
        <v>8</v>
      </c>
      <c r="H381" s="164">
        <f t="shared" si="33"/>
        <v>11708.598749999999</v>
      </c>
      <c r="I381" s="165">
        <f t="shared" si="28"/>
        <v>110.24125000000095</v>
      </c>
      <c r="J381" s="177">
        <f t="shared" si="32"/>
        <v>381.19019043353705</v>
      </c>
      <c r="K381" s="583" t="s">
        <v>142</v>
      </c>
      <c r="L381" s="584"/>
    </row>
    <row r="382" spans="1:13" ht="13.5" thickBot="1">
      <c r="A382" s="303">
        <v>355</v>
      </c>
      <c r="B382" s="492" t="s">
        <v>152</v>
      </c>
      <c r="C382" s="493"/>
      <c r="D382" s="300">
        <f t="shared" si="31"/>
        <v>16</v>
      </c>
      <c r="E382" s="197">
        <v>32.94</v>
      </c>
      <c r="F382" s="283">
        <f t="shared" si="26"/>
        <v>32.541999999999994</v>
      </c>
      <c r="G382" s="165" t="s">
        <v>8</v>
      </c>
      <c r="H382" s="164">
        <f t="shared" si="33"/>
        <v>11741.140749999999</v>
      </c>
      <c r="I382" s="165">
        <f t="shared" si="28"/>
        <v>77.699250000001484</v>
      </c>
      <c r="J382" s="177">
        <f t="shared" si="32"/>
        <v>381.89666755805956</v>
      </c>
      <c r="K382" s="583" t="s">
        <v>116</v>
      </c>
      <c r="L382" s="584"/>
    </row>
    <row r="383" spans="1:13" ht="13.5" thickBot="1">
      <c r="A383" s="303">
        <v>356</v>
      </c>
      <c r="B383" s="492" t="s">
        <v>152</v>
      </c>
      <c r="C383" s="493"/>
      <c r="D383" s="300">
        <f t="shared" ref="D383:D384" si="34">D382-1</f>
        <v>15</v>
      </c>
      <c r="E383" s="197">
        <v>33.14</v>
      </c>
      <c r="F383" s="283">
        <f t="shared" si="26"/>
        <v>32.741999999999997</v>
      </c>
      <c r="G383" s="165" t="s">
        <v>8</v>
      </c>
      <c r="H383" s="164">
        <f t="shared" si="33"/>
        <v>11773.882749999999</v>
      </c>
      <c r="I383" s="165">
        <f t="shared" si="28"/>
        <v>44.957250000001295</v>
      </c>
      <c r="J383" s="177">
        <f t="shared" si="32"/>
        <v>382.60748662299466</v>
      </c>
      <c r="L383" s="158"/>
    </row>
    <row r="384" spans="1:13" ht="12.95" hidden="1" customHeight="1" thickBot="1">
      <c r="A384" s="338">
        <v>357</v>
      </c>
      <c r="B384" s="569" t="s">
        <v>152</v>
      </c>
      <c r="C384" s="570"/>
      <c r="D384" s="327">
        <f t="shared" si="34"/>
        <v>14</v>
      </c>
      <c r="E384" s="339">
        <v>31.72</v>
      </c>
      <c r="F384" s="339">
        <f t="shared" si="26"/>
        <v>31.321999999999999</v>
      </c>
      <c r="G384" s="326" t="s">
        <v>10</v>
      </c>
      <c r="H384" s="340">
        <f t="shared" si="33"/>
        <v>11773.882749999999</v>
      </c>
      <c r="I384" s="326">
        <f t="shared" si="28"/>
        <v>44.957250000001295</v>
      </c>
      <c r="J384" s="341">
        <f t="shared" si="32"/>
        <v>382.60748662299466</v>
      </c>
    </row>
    <row r="385" spans="1:14" ht="12.95" customHeight="1" thickBot="1">
      <c r="A385" s="227" t="s">
        <v>167</v>
      </c>
      <c r="B385" s="565" t="s">
        <v>123</v>
      </c>
      <c r="C385" s="473"/>
      <c r="D385" s="474"/>
      <c r="E385" s="228">
        <v>10.199999999999999</v>
      </c>
      <c r="F385" s="201">
        <f t="shared" si="26"/>
        <v>9.8019999999999996</v>
      </c>
      <c r="G385" s="201" t="s">
        <v>8</v>
      </c>
      <c r="H385" s="201">
        <f t="shared" si="33"/>
        <v>11783.684749999999</v>
      </c>
      <c r="I385" s="307">
        <f t="shared" si="28"/>
        <v>35.155250000001615</v>
      </c>
      <c r="J385" s="304">
        <f t="shared" si="32"/>
        <v>382.82028512261269</v>
      </c>
      <c r="K385" s="587" t="s">
        <v>93</v>
      </c>
      <c r="L385" s="589">
        <f>L380+H386</f>
        <v>11818.056749999998</v>
      </c>
    </row>
    <row r="386" spans="1:14" ht="12.6" customHeight="1" thickBot="1">
      <c r="A386" s="227" t="s">
        <v>168</v>
      </c>
      <c r="B386" s="565" t="s">
        <v>123</v>
      </c>
      <c r="C386" s="473"/>
      <c r="D386" s="474"/>
      <c r="E386" s="228">
        <v>15.22</v>
      </c>
      <c r="F386" s="201">
        <f t="shared" si="26"/>
        <v>14.822000000000001</v>
      </c>
      <c r="G386" s="201" t="s">
        <v>8</v>
      </c>
      <c r="H386" s="201">
        <f t="shared" si="33"/>
        <v>11798.506749999999</v>
      </c>
      <c r="I386" s="307">
        <f t="shared" si="28"/>
        <v>20.333250000001499</v>
      </c>
      <c r="J386" s="304">
        <f t="shared" si="32"/>
        <v>383.14206632658517</v>
      </c>
      <c r="K386" s="588"/>
      <c r="L386" s="590"/>
    </row>
    <row r="387" spans="1:14" ht="13.5" customHeight="1" thickBot="1">
      <c r="A387" s="598" t="s">
        <v>104</v>
      </c>
      <c r="B387" s="599"/>
      <c r="C387" s="600"/>
      <c r="D387" s="305">
        <v>268</v>
      </c>
      <c r="E387" s="306">
        <v>31.22</v>
      </c>
      <c r="F387" s="306">
        <f t="shared" si="26"/>
        <v>30.821999999999999</v>
      </c>
      <c r="G387" s="306" t="s">
        <v>8</v>
      </c>
      <c r="H387" s="306">
        <f t="shared" si="33"/>
        <v>11829.328749999999</v>
      </c>
      <c r="I387" s="308">
        <f t="shared" si="28"/>
        <v>-10.488749999998618</v>
      </c>
      <c r="J387" s="282">
        <f t="shared" si="32"/>
        <v>383.81120276356</v>
      </c>
      <c r="K387" s="168" t="s">
        <v>89</v>
      </c>
      <c r="L387" s="169">
        <f>K5</f>
        <v>11820.84</v>
      </c>
      <c r="M387" t="s">
        <v>151</v>
      </c>
      <c r="N387" s="11"/>
    </row>
    <row r="388" spans="1:14" ht="12.95" customHeight="1" thickBot="1">
      <c r="A388" s="601"/>
      <c r="B388" s="602"/>
      <c r="C388" s="602"/>
      <c r="D388" s="603"/>
      <c r="E388" s="167"/>
      <c r="F388" s="167"/>
      <c r="G388" s="167"/>
      <c r="H388" s="167"/>
      <c r="I388" s="167"/>
      <c r="J388" s="166"/>
      <c r="K388" s="604" t="s">
        <v>171</v>
      </c>
      <c r="L388" s="607">
        <f>19.55-I386</f>
        <v>-0.78325000000149814</v>
      </c>
      <c r="N388" s="11"/>
    </row>
    <row r="389" spans="1:14" ht="12.6" customHeight="1" thickBot="1">
      <c r="A389" s="451" t="s">
        <v>88</v>
      </c>
      <c r="B389" s="567" t="s">
        <v>86</v>
      </c>
      <c r="C389" s="568"/>
      <c r="D389" s="568"/>
      <c r="E389" s="295">
        <v>7.24</v>
      </c>
      <c r="F389" s="161">
        <f>E389-($C$10)</f>
        <v>6.8420000000000005</v>
      </c>
      <c r="G389" s="159" t="s">
        <v>10</v>
      </c>
      <c r="H389" s="610" t="s">
        <v>90</v>
      </c>
      <c r="I389" s="611"/>
      <c r="J389" s="612"/>
      <c r="K389" s="605"/>
      <c r="L389" s="608"/>
    </row>
    <row r="390" spans="1:14" ht="12.95" customHeight="1" thickBot="1">
      <c r="A390" s="452"/>
      <c r="B390" s="561" t="s">
        <v>87</v>
      </c>
      <c r="C390" s="562"/>
      <c r="D390" s="562"/>
      <c r="E390" s="296">
        <v>100.6</v>
      </c>
      <c r="F390" s="162">
        <f>E390</f>
        <v>100.6</v>
      </c>
      <c r="G390" s="160" t="s">
        <v>10</v>
      </c>
      <c r="H390" s="591" t="s">
        <v>143</v>
      </c>
      <c r="I390" s="591"/>
      <c r="J390" s="592"/>
      <c r="K390" s="605"/>
      <c r="L390" s="608"/>
    </row>
    <row r="391" spans="1:14" ht="13.5" customHeight="1" thickBot="1">
      <c r="A391" s="566"/>
      <c r="B391" s="593" t="s">
        <v>83</v>
      </c>
      <c r="C391" s="594"/>
      <c r="D391" s="594"/>
      <c r="E391" s="594"/>
      <c r="F391" s="188">
        <f>E391</f>
        <v>0</v>
      </c>
      <c r="G391" s="189" t="s">
        <v>10</v>
      </c>
      <c r="H391" s="613"/>
      <c r="I391" s="614"/>
      <c r="J391" s="615"/>
      <c r="K391" s="606"/>
      <c r="L391" s="609"/>
    </row>
    <row r="392" spans="1:14" ht="12.95" customHeight="1" thickBot="1">
      <c r="A392" s="186"/>
      <c r="B392" s="190"/>
      <c r="C392" s="191"/>
      <c r="D392" s="191"/>
      <c r="E392" s="187"/>
      <c r="F392" s="187"/>
      <c r="G392" s="187"/>
      <c r="H392" s="595"/>
      <c r="I392" s="595"/>
      <c r="J392" s="595"/>
      <c r="K392" s="596" t="s">
        <v>101</v>
      </c>
      <c r="L392" s="597"/>
    </row>
    <row r="393" spans="1:14">
      <c r="A393"/>
      <c r="K393"/>
    </row>
    <row r="394" spans="1:14">
      <c r="A394"/>
      <c r="K394"/>
    </row>
    <row r="395" spans="1:14">
      <c r="A395"/>
      <c r="K395"/>
    </row>
    <row r="396" spans="1:14">
      <c r="A396"/>
      <c r="K396"/>
    </row>
    <row r="397" spans="1:14">
      <c r="A397"/>
      <c r="K397"/>
    </row>
    <row r="398" spans="1:14">
      <c r="A398"/>
      <c r="K398"/>
    </row>
    <row r="399" spans="1:14">
      <c r="A399"/>
      <c r="K399"/>
    </row>
    <row r="400" spans="1:14">
      <c r="A400"/>
      <c r="K400"/>
    </row>
    <row r="401" spans="1:11">
      <c r="A401"/>
      <c r="K401"/>
    </row>
    <row r="402" spans="1:11">
      <c r="A402"/>
      <c r="K402"/>
    </row>
    <row r="403" spans="1:11">
      <c r="A403"/>
      <c r="K403"/>
    </row>
    <row r="404" spans="1:11">
      <c r="A404"/>
      <c r="K404"/>
    </row>
    <row r="405" spans="1:11">
      <c r="A405"/>
      <c r="K405"/>
    </row>
    <row r="406" spans="1:11">
      <c r="A406"/>
      <c r="K406"/>
    </row>
    <row r="407" spans="1:11">
      <c r="A407"/>
    </row>
    <row r="408" spans="1:11">
      <c r="A408"/>
    </row>
    <row r="409" spans="1:11">
      <c r="A409"/>
    </row>
    <row r="410" spans="1:11">
      <c r="A410"/>
    </row>
    <row r="411" spans="1:11">
      <c r="A411"/>
    </row>
    <row r="412" spans="1:11">
      <c r="A412"/>
    </row>
    <row r="413" spans="1:11">
      <c r="A413"/>
    </row>
    <row r="414" spans="1:11">
      <c r="A414"/>
    </row>
    <row r="415" spans="1:11">
      <c r="A415"/>
    </row>
    <row r="416" spans="1:1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>
      <c r="A512"/>
    </row>
    <row r="513" spans="1:1">
      <c r="A513"/>
    </row>
    <row r="514" spans="1:1">
      <c r="A514"/>
    </row>
    <row r="515" spans="1:1">
      <c r="A515"/>
    </row>
    <row r="516" spans="1:1">
      <c r="A516"/>
    </row>
    <row r="517" spans="1:1">
      <c r="A517"/>
    </row>
    <row r="518" spans="1:1">
      <c r="A518"/>
    </row>
    <row r="519" spans="1:1">
      <c r="A519"/>
    </row>
    <row r="520" spans="1:1">
      <c r="A520"/>
    </row>
    <row r="521" spans="1:1">
      <c r="A521"/>
    </row>
    <row r="522" spans="1:1">
      <c r="A522"/>
    </row>
    <row r="523" spans="1:1">
      <c r="A523"/>
    </row>
    <row r="524" spans="1:1">
      <c r="A524"/>
    </row>
    <row r="525" spans="1:1">
      <c r="A525"/>
    </row>
    <row r="526" spans="1:1">
      <c r="A526"/>
    </row>
    <row r="527" spans="1:1">
      <c r="A527"/>
    </row>
    <row r="528" spans="1:1">
      <c r="A528"/>
    </row>
    <row r="529" spans="1:1">
      <c r="A529"/>
    </row>
    <row r="530" spans="1:1">
      <c r="A530"/>
    </row>
    <row r="531" spans="1:1">
      <c r="A531"/>
    </row>
    <row r="532" spans="1:1">
      <c r="A532"/>
    </row>
    <row r="533" spans="1:1">
      <c r="A533"/>
    </row>
    <row r="534" spans="1:1">
      <c r="A534"/>
    </row>
    <row r="535" spans="1:1">
      <c r="A535"/>
    </row>
    <row r="536" spans="1:1">
      <c r="A536"/>
    </row>
    <row r="537" spans="1:1">
      <c r="A537"/>
    </row>
    <row r="538" spans="1:1">
      <c r="A538"/>
    </row>
    <row r="539" spans="1:1">
      <c r="A539"/>
    </row>
    <row r="540" spans="1:1">
      <c r="A540"/>
    </row>
    <row r="541" spans="1:1">
      <c r="A541"/>
    </row>
    <row r="542" spans="1:1">
      <c r="A542"/>
    </row>
    <row r="543" spans="1:1">
      <c r="A543"/>
    </row>
    <row r="544" spans="1:1">
      <c r="A544"/>
    </row>
    <row r="545" spans="1:1">
      <c r="A545"/>
    </row>
    <row r="546" spans="1:1">
      <c r="A546"/>
    </row>
    <row r="547" spans="1:1">
      <c r="A547"/>
    </row>
    <row r="548" spans="1:1">
      <c r="A548"/>
    </row>
    <row r="549" spans="1:1">
      <c r="A549"/>
    </row>
    <row r="550" spans="1:1">
      <c r="A550"/>
    </row>
    <row r="551" spans="1:1">
      <c r="A551"/>
    </row>
    <row r="552" spans="1:1">
      <c r="A552"/>
    </row>
    <row r="553" spans="1:1">
      <c r="A553"/>
    </row>
    <row r="554" spans="1:1">
      <c r="A554"/>
    </row>
    <row r="555" spans="1:1">
      <c r="A555"/>
    </row>
    <row r="556" spans="1:1">
      <c r="A556"/>
    </row>
    <row r="557" spans="1:1">
      <c r="A557"/>
    </row>
    <row r="558" spans="1:1">
      <c r="A558"/>
    </row>
    <row r="559" spans="1:1">
      <c r="A559"/>
    </row>
    <row r="560" spans="1:1">
      <c r="A560"/>
    </row>
    <row r="561" spans="1:1">
      <c r="A561"/>
    </row>
    <row r="562" spans="1:1">
      <c r="A562"/>
    </row>
    <row r="563" spans="1:1">
      <c r="A563"/>
    </row>
    <row r="564" spans="1:1">
      <c r="A564"/>
    </row>
    <row r="565" spans="1:1">
      <c r="A565"/>
    </row>
    <row r="566" spans="1:1">
      <c r="A566"/>
    </row>
    <row r="567" spans="1:1">
      <c r="A567"/>
    </row>
    <row r="568" spans="1:1">
      <c r="A568"/>
    </row>
    <row r="569" spans="1:1">
      <c r="A569"/>
    </row>
    <row r="570" spans="1:1">
      <c r="A570"/>
    </row>
    <row r="571" spans="1:1">
      <c r="A571"/>
    </row>
    <row r="572" spans="1:1">
      <c r="A572"/>
    </row>
    <row r="573" spans="1:1">
      <c r="A573"/>
    </row>
    <row r="574" spans="1:1">
      <c r="A574"/>
    </row>
    <row r="575" spans="1:1">
      <c r="A575"/>
    </row>
    <row r="576" spans="1:1">
      <c r="A576"/>
    </row>
    <row r="577" spans="1:1">
      <c r="A577"/>
    </row>
    <row r="578" spans="1:1">
      <c r="A578"/>
    </row>
    <row r="579" spans="1:1">
      <c r="A579"/>
    </row>
    <row r="580" spans="1:1">
      <c r="A580"/>
    </row>
    <row r="581" spans="1:1">
      <c r="A581"/>
    </row>
    <row r="582" spans="1:1">
      <c r="A582"/>
    </row>
    <row r="583" spans="1:1">
      <c r="A583"/>
    </row>
    <row r="584" spans="1:1">
      <c r="A584"/>
    </row>
    <row r="585" spans="1:1">
      <c r="A585"/>
    </row>
    <row r="586" spans="1:1">
      <c r="A586"/>
    </row>
    <row r="587" spans="1:1">
      <c r="A587"/>
    </row>
    <row r="588" spans="1:1">
      <c r="A588"/>
    </row>
    <row r="589" spans="1:1">
      <c r="A589"/>
    </row>
    <row r="590" spans="1:1">
      <c r="A590"/>
    </row>
    <row r="591" spans="1:1">
      <c r="A591"/>
    </row>
    <row r="592" spans="1:1">
      <c r="A592"/>
    </row>
    <row r="593" spans="1:1">
      <c r="A593"/>
    </row>
    <row r="594" spans="1:1">
      <c r="A594"/>
    </row>
    <row r="595" spans="1:1">
      <c r="A595"/>
    </row>
    <row r="596" spans="1:1">
      <c r="A596"/>
    </row>
    <row r="597" spans="1:1">
      <c r="A597"/>
    </row>
    <row r="598" spans="1:1">
      <c r="A598"/>
    </row>
    <row r="599" spans="1:1">
      <c r="A599"/>
    </row>
    <row r="600" spans="1:1">
      <c r="A600"/>
    </row>
    <row r="601" spans="1:1">
      <c r="A601"/>
    </row>
    <row r="602" spans="1:1">
      <c r="A602"/>
    </row>
    <row r="603" spans="1:1">
      <c r="A603"/>
    </row>
    <row r="604" spans="1:1">
      <c r="A604"/>
    </row>
    <row r="605" spans="1:1">
      <c r="A605"/>
    </row>
    <row r="606" spans="1:1">
      <c r="A606"/>
    </row>
    <row r="607" spans="1:1">
      <c r="A607"/>
    </row>
    <row r="608" spans="1:1">
      <c r="A608"/>
    </row>
    <row r="609" spans="1:1">
      <c r="A609"/>
    </row>
    <row r="610" spans="1:1">
      <c r="A610"/>
    </row>
    <row r="611" spans="1:1">
      <c r="A611"/>
    </row>
    <row r="612" spans="1:1">
      <c r="A612"/>
    </row>
    <row r="613" spans="1:1">
      <c r="A613"/>
    </row>
    <row r="614" spans="1:1">
      <c r="A614"/>
    </row>
    <row r="615" spans="1:1">
      <c r="A615"/>
    </row>
    <row r="616" spans="1:1">
      <c r="A616"/>
    </row>
    <row r="617" spans="1:1">
      <c r="A617"/>
    </row>
    <row r="618" spans="1:1">
      <c r="A618"/>
    </row>
    <row r="619" spans="1:1">
      <c r="A619"/>
    </row>
    <row r="620" spans="1:1">
      <c r="A620"/>
    </row>
    <row r="621" spans="1:1">
      <c r="A621"/>
    </row>
    <row r="622" spans="1:1">
      <c r="A622"/>
    </row>
    <row r="623" spans="1:1">
      <c r="A623"/>
    </row>
    <row r="624" spans="1:1">
      <c r="A624"/>
    </row>
    <row r="625" spans="1:1">
      <c r="A625"/>
    </row>
    <row r="626" spans="1:1">
      <c r="A626"/>
    </row>
    <row r="627" spans="1:1">
      <c r="A627"/>
    </row>
    <row r="628" spans="1:1">
      <c r="A628"/>
    </row>
    <row r="629" spans="1:1">
      <c r="A629"/>
    </row>
    <row r="630" spans="1:1">
      <c r="A630"/>
    </row>
    <row r="631" spans="1:1">
      <c r="A631"/>
    </row>
    <row r="632" spans="1:1">
      <c r="A632"/>
    </row>
    <row r="633" spans="1:1">
      <c r="A633"/>
    </row>
    <row r="634" spans="1:1">
      <c r="A634"/>
    </row>
    <row r="635" spans="1:1">
      <c r="A635"/>
    </row>
    <row r="636" spans="1:1">
      <c r="A636"/>
    </row>
    <row r="637" spans="1:1">
      <c r="A637"/>
    </row>
    <row r="638" spans="1:1">
      <c r="A638"/>
    </row>
    <row r="639" spans="1:1">
      <c r="A639"/>
    </row>
    <row r="640" spans="1:1">
      <c r="A640"/>
    </row>
    <row r="641" spans="1:1">
      <c r="A641"/>
    </row>
    <row r="642" spans="1:1">
      <c r="A642"/>
    </row>
    <row r="643" spans="1:1">
      <c r="A643"/>
    </row>
    <row r="644" spans="1:1">
      <c r="A644"/>
    </row>
    <row r="645" spans="1:1">
      <c r="A645"/>
    </row>
    <row r="646" spans="1:1">
      <c r="A646"/>
    </row>
    <row r="647" spans="1:1">
      <c r="A647"/>
    </row>
    <row r="648" spans="1:1">
      <c r="A648"/>
    </row>
    <row r="649" spans="1:1">
      <c r="A649"/>
    </row>
    <row r="650" spans="1:1">
      <c r="A650"/>
    </row>
    <row r="651" spans="1:1">
      <c r="A651"/>
    </row>
    <row r="652" spans="1:1">
      <c r="A652"/>
    </row>
    <row r="653" spans="1:1">
      <c r="A653"/>
    </row>
    <row r="654" spans="1:1">
      <c r="A654"/>
    </row>
    <row r="655" spans="1:1">
      <c r="A655"/>
    </row>
    <row r="656" spans="1:1">
      <c r="A656"/>
    </row>
    <row r="657" spans="1:1">
      <c r="A657"/>
    </row>
    <row r="658" spans="1:1">
      <c r="A658"/>
    </row>
    <row r="659" spans="1:1">
      <c r="A659"/>
    </row>
    <row r="660" spans="1:1">
      <c r="A660"/>
    </row>
    <row r="661" spans="1:1">
      <c r="A661"/>
    </row>
    <row r="662" spans="1:1">
      <c r="A662"/>
    </row>
    <row r="663" spans="1:1">
      <c r="A663"/>
    </row>
    <row r="664" spans="1:1">
      <c r="A664"/>
    </row>
    <row r="665" spans="1:1">
      <c r="A665"/>
    </row>
    <row r="666" spans="1:1">
      <c r="A666"/>
    </row>
    <row r="667" spans="1:1">
      <c r="A667"/>
    </row>
    <row r="668" spans="1:1">
      <c r="A668"/>
    </row>
    <row r="669" spans="1:1">
      <c r="A669"/>
    </row>
    <row r="670" spans="1:1">
      <c r="A670"/>
    </row>
    <row r="671" spans="1:1">
      <c r="A671"/>
    </row>
    <row r="672" spans="1:1">
      <c r="A672"/>
    </row>
    <row r="673" spans="1:1">
      <c r="A673"/>
    </row>
    <row r="674" spans="1:1">
      <c r="A674"/>
    </row>
    <row r="675" spans="1:1">
      <c r="A675"/>
    </row>
    <row r="676" spans="1:1">
      <c r="A676"/>
    </row>
    <row r="677" spans="1:1">
      <c r="A677"/>
    </row>
    <row r="678" spans="1:1">
      <c r="A678"/>
    </row>
    <row r="679" spans="1:1">
      <c r="A679"/>
    </row>
    <row r="680" spans="1:1">
      <c r="A680"/>
    </row>
    <row r="681" spans="1:1">
      <c r="A681"/>
    </row>
    <row r="682" spans="1:1">
      <c r="A682"/>
    </row>
    <row r="683" spans="1:1">
      <c r="A683"/>
    </row>
    <row r="684" spans="1:1">
      <c r="A684"/>
    </row>
    <row r="685" spans="1:1">
      <c r="A685"/>
    </row>
    <row r="686" spans="1:1">
      <c r="A686"/>
    </row>
    <row r="687" spans="1:1">
      <c r="A687"/>
    </row>
    <row r="688" spans="1:1">
      <c r="A688"/>
    </row>
    <row r="689" spans="1:1">
      <c r="A689"/>
    </row>
    <row r="690" spans="1:1">
      <c r="A690"/>
    </row>
    <row r="691" spans="1:1">
      <c r="A691"/>
    </row>
    <row r="692" spans="1:1">
      <c r="A692"/>
    </row>
    <row r="693" spans="1:1">
      <c r="A693"/>
    </row>
    <row r="694" spans="1:1">
      <c r="A694"/>
    </row>
    <row r="695" spans="1:1">
      <c r="A695"/>
    </row>
    <row r="696" spans="1:1">
      <c r="A696"/>
    </row>
    <row r="697" spans="1:1">
      <c r="A697"/>
    </row>
    <row r="698" spans="1:1">
      <c r="A698"/>
    </row>
    <row r="699" spans="1:1">
      <c r="A699"/>
    </row>
    <row r="700" spans="1:1">
      <c r="A700"/>
    </row>
    <row r="701" spans="1:1">
      <c r="A701"/>
    </row>
    <row r="702" spans="1:1">
      <c r="A702"/>
    </row>
    <row r="703" spans="1:1">
      <c r="A703"/>
    </row>
    <row r="704" spans="1:1">
      <c r="A704"/>
    </row>
    <row r="705" spans="1:1">
      <c r="A705"/>
    </row>
    <row r="706" spans="1:1">
      <c r="A706"/>
    </row>
    <row r="707" spans="1:1">
      <c r="A707"/>
    </row>
    <row r="708" spans="1:1">
      <c r="A708"/>
    </row>
    <row r="709" spans="1:1">
      <c r="A709"/>
    </row>
    <row r="710" spans="1:1">
      <c r="A710"/>
    </row>
    <row r="711" spans="1:1">
      <c r="A711"/>
    </row>
    <row r="712" spans="1:1">
      <c r="A712"/>
    </row>
    <row r="713" spans="1:1">
      <c r="A713"/>
    </row>
    <row r="714" spans="1:1">
      <c r="A714"/>
    </row>
    <row r="715" spans="1:1">
      <c r="A715"/>
    </row>
    <row r="716" spans="1:1">
      <c r="A716"/>
    </row>
    <row r="717" spans="1:1">
      <c r="A717"/>
    </row>
    <row r="718" spans="1:1">
      <c r="A718"/>
    </row>
    <row r="719" spans="1:1">
      <c r="A719"/>
    </row>
    <row r="720" spans="1:1">
      <c r="A720"/>
    </row>
    <row r="721" spans="1:1">
      <c r="A721"/>
    </row>
    <row r="722" spans="1:1">
      <c r="A722"/>
    </row>
    <row r="723" spans="1:1">
      <c r="A723"/>
    </row>
    <row r="724" spans="1:1">
      <c r="A724"/>
    </row>
    <row r="725" spans="1:1">
      <c r="A725"/>
    </row>
    <row r="726" spans="1:1">
      <c r="A726"/>
    </row>
    <row r="727" spans="1:1">
      <c r="A727"/>
    </row>
    <row r="728" spans="1:1">
      <c r="A728"/>
    </row>
    <row r="729" spans="1:1">
      <c r="A729"/>
    </row>
    <row r="730" spans="1:1">
      <c r="A730"/>
    </row>
    <row r="731" spans="1:1">
      <c r="A731"/>
    </row>
    <row r="732" spans="1:1">
      <c r="A732"/>
    </row>
    <row r="733" spans="1:1">
      <c r="A733"/>
    </row>
    <row r="734" spans="1:1">
      <c r="A734"/>
    </row>
    <row r="735" spans="1:1">
      <c r="A735"/>
    </row>
    <row r="736" spans="1:1">
      <c r="A736"/>
    </row>
    <row r="737" spans="1:1">
      <c r="A737"/>
    </row>
    <row r="738" spans="1:1">
      <c r="A738"/>
    </row>
    <row r="739" spans="1:1">
      <c r="A739"/>
    </row>
    <row r="740" spans="1:1">
      <c r="A740"/>
    </row>
    <row r="741" spans="1:1">
      <c r="A741"/>
    </row>
    <row r="742" spans="1:1">
      <c r="A742"/>
    </row>
    <row r="743" spans="1:1">
      <c r="A743"/>
    </row>
    <row r="744" spans="1:1">
      <c r="A744"/>
    </row>
    <row r="745" spans="1:1">
      <c r="A745"/>
    </row>
    <row r="746" spans="1:1">
      <c r="A746"/>
    </row>
    <row r="747" spans="1:1">
      <c r="A747"/>
    </row>
    <row r="748" spans="1:1">
      <c r="A748"/>
    </row>
    <row r="749" spans="1:1">
      <c r="A749"/>
    </row>
    <row r="750" spans="1:1">
      <c r="A750"/>
    </row>
    <row r="751" spans="1:1">
      <c r="A751"/>
    </row>
    <row r="752" spans="1:1">
      <c r="A752"/>
    </row>
    <row r="753" spans="1:1">
      <c r="A753"/>
    </row>
    <row r="754" spans="1:1">
      <c r="A754"/>
    </row>
    <row r="755" spans="1:1">
      <c r="A755"/>
    </row>
    <row r="756" spans="1:1">
      <c r="A756"/>
    </row>
    <row r="757" spans="1:1">
      <c r="A757"/>
    </row>
    <row r="758" spans="1:1">
      <c r="A758"/>
    </row>
    <row r="759" spans="1:1">
      <c r="A759"/>
    </row>
    <row r="760" spans="1:1">
      <c r="A760"/>
    </row>
    <row r="761" spans="1:1">
      <c r="A761"/>
    </row>
    <row r="762" spans="1:1">
      <c r="A762"/>
    </row>
    <row r="763" spans="1:1">
      <c r="A763"/>
    </row>
    <row r="764" spans="1:1">
      <c r="A764"/>
    </row>
    <row r="765" spans="1:1">
      <c r="A765"/>
    </row>
    <row r="766" spans="1:1">
      <c r="A766"/>
    </row>
    <row r="767" spans="1:1">
      <c r="A767"/>
    </row>
    <row r="768" spans="1:1">
      <c r="A768"/>
    </row>
    <row r="769" spans="1:1">
      <c r="A769"/>
    </row>
    <row r="770" spans="1:1">
      <c r="A770"/>
    </row>
    <row r="771" spans="1:1">
      <c r="A771"/>
    </row>
    <row r="772" spans="1:1">
      <c r="A772"/>
    </row>
    <row r="773" spans="1:1">
      <c r="A773"/>
    </row>
    <row r="774" spans="1:1">
      <c r="A774"/>
    </row>
    <row r="775" spans="1:1">
      <c r="A775"/>
    </row>
    <row r="776" spans="1:1">
      <c r="A776"/>
    </row>
    <row r="777" spans="1:1">
      <c r="A777"/>
    </row>
    <row r="778" spans="1:1">
      <c r="A778"/>
    </row>
    <row r="779" spans="1:1">
      <c r="A779"/>
    </row>
    <row r="780" spans="1:1">
      <c r="A780"/>
    </row>
    <row r="781" spans="1:1">
      <c r="A781"/>
    </row>
    <row r="782" spans="1:1">
      <c r="A782"/>
    </row>
    <row r="783" spans="1:1">
      <c r="A783"/>
    </row>
    <row r="784" spans="1:1">
      <c r="A784"/>
    </row>
    <row r="785" spans="1:1">
      <c r="A785"/>
    </row>
    <row r="786" spans="1:1">
      <c r="A786"/>
    </row>
    <row r="787" spans="1:1">
      <c r="A787"/>
    </row>
    <row r="788" spans="1:1">
      <c r="A788"/>
    </row>
    <row r="789" spans="1:1">
      <c r="A789"/>
    </row>
    <row r="790" spans="1:1">
      <c r="A790"/>
    </row>
    <row r="791" spans="1:1">
      <c r="A791"/>
    </row>
    <row r="792" spans="1:1">
      <c r="A792"/>
    </row>
    <row r="793" spans="1:1">
      <c r="A793"/>
    </row>
    <row r="794" spans="1:1">
      <c r="A794"/>
    </row>
    <row r="795" spans="1:1">
      <c r="A795"/>
    </row>
    <row r="796" spans="1:1">
      <c r="A796"/>
    </row>
    <row r="797" spans="1:1">
      <c r="A797"/>
    </row>
    <row r="798" spans="1:1">
      <c r="A798"/>
    </row>
    <row r="799" spans="1:1">
      <c r="A799"/>
    </row>
    <row r="800" spans="1:1">
      <c r="A800"/>
    </row>
    <row r="801" spans="1:1">
      <c r="A801"/>
    </row>
    <row r="802" spans="1:1">
      <c r="A802"/>
    </row>
    <row r="803" spans="1:1">
      <c r="A803"/>
    </row>
    <row r="804" spans="1:1">
      <c r="A804"/>
    </row>
    <row r="805" spans="1:1">
      <c r="A805"/>
    </row>
    <row r="806" spans="1:1">
      <c r="A806"/>
    </row>
    <row r="807" spans="1:1">
      <c r="A807"/>
    </row>
    <row r="808" spans="1:1">
      <c r="A808"/>
    </row>
    <row r="809" spans="1:1">
      <c r="A809"/>
    </row>
    <row r="810" spans="1:1">
      <c r="A810"/>
    </row>
    <row r="811" spans="1:1">
      <c r="A811"/>
    </row>
    <row r="812" spans="1:1">
      <c r="A812"/>
    </row>
    <row r="813" spans="1:1">
      <c r="A813"/>
    </row>
    <row r="814" spans="1:1">
      <c r="A814"/>
    </row>
    <row r="815" spans="1:1">
      <c r="A815"/>
    </row>
    <row r="816" spans="1:1">
      <c r="A816"/>
    </row>
    <row r="817" spans="1:1">
      <c r="A817"/>
    </row>
    <row r="818" spans="1:1">
      <c r="A818"/>
    </row>
    <row r="819" spans="1:1">
      <c r="A819"/>
    </row>
    <row r="820" spans="1:1">
      <c r="A820"/>
    </row>
    <row r="821" spans="1:1">
      <c r="A821"/>
    </row>
    <row r="822" spans="1:1">
      <c r="A822"/>
    </row>
    <row r="823" spans="1:1">
      <c r="A823"/>
    </row>
    <row r="824" spans="1:1">
      <c r="A824"/>
    </row>
    <row r="825" spans="1:1">
      <c r="A825"/>
    </row>
    <row r="826" spans="1:1">
      <c r="A826"/>
    </row>
    <row r="827" spans="1:1">
      <c r="A827"/>
    </row>
    <row r="828" spans="1:1">
      <c r="A828"/>
    </row>
    <row r="829" spans="1:1">
      <c r="A829"/>
    </row>
    <row r="830" spans="1:1">
      <c r="A830"/>
    </row>
    <row r="831" spans="1:1">
      <c r="A831"/>
    </row>
    <row r="832" spans="1:1">
      <c r="A832"/>
    </row>
    <row r="833" spans="1:1">
      <c r="A833"/>
    </row>
    <row r="834" spans="1:1">
      <c r="A834"/>
    </row>
    <row r="835" spans="1:1">
      <c r="A835"/>
    </row>
    <row r="836" spans="1:1">
      <c r="A836"/>
    </row>
    <row r="837" spans="1:1">
      <c r="A837"/>
    </row>
    <row r="838" spans="1:1">
      <c r="A838"/>
    </row>
    <row r="839" spans="1:1">
      <c r="A839"/>
    </row>
    <row r="840" spans="1:1">
      <c r="A840"/>
    </row>
    <row r="841" spans="1:1">
      <c r="A841"/>
    </row>
    <row r="842" spans="1:1">
      <c r="A842"/>
    </row>
    <row r="843" spans="1:1">
      <c r="A843"/>
    </row>
    <row r="844" spans="1:1">
      <c r="A844"/>
    </row>
    <row r="845" spans="1:1">
      <c r="A845"/>
    </row>
    <row r="846" spans="1:1">
      <c r="A846"/>
    </row>
    <row r="847" spans="1:1">
      <c r="A847"/>
    </row>
    <row r="848" spans="1:1">
      <c r="A848"/>
    </row>
    <row r="849" spans="1:1">
      <c r="A849"/>
    </row>
    <row r="850" spans="1:1">
      <c r="A850"/>
    </row>
    <row r="851" spans="1:1">
      <c r="A851"/>
    </row>
    <row r="852" spans="1:1">
      <c r="A852"/>
    </row>
    <row r="853" spans="1:1">
      <c r="A853"/>
    </row>
    <row r="854" spans="1:1">
      <c r="A854"/>
    </row>
    <row r="855" spans="1:1">
      <c r="A855"/>
    </row>
    <row r="856" spans="1:1">
      <c r="A856"/>
    </row>
    <row r="857" spans="1:1">
      <c r="A857"/>
    </row>
    <row r="858" spans="1:1">
      <c r="A858"/>
    </row>
    <row r="859" spans="1:1">
      <c r="A859"/>
    </row>
    <row r="860" spans="1:1">
      <c r="A860"/>
    </row>
    <row r="861" spans="1:1">
      <c r="A861"/>
    </row>
    <row r="862" spans="1:1">
      <c r="A862"/>
    </row>
    <row r="863" spans="1:1">
      <c r="A863"/>
    </row>
    <row r="864" spans="1:1">
      <c r="A864"/>
    </row>
    <row r="865" spans="1:1">
      <c r="A865"/>
    </row>
    <row r="866" spans="1:1">
      <c r="A866"/>
    </row>
    <row r="867" spans="1:1">
      <c r="A867"/>
    </row>
    <row r="868" spans="1:1">
      <c r="A868"/>
    </row>
    <row r="869" spans="1:1">
      <c r="A869"/>
    </row>
  </sheetData>
  <mergeCells count="718">
    <mergeCell ref="K352:L352"/>
    <mergeCell ref="B329:C329"/>
    <mergeCell ref="K329:L329"/>
    <mergeCell ref="B334:C334"/>
    <mergeCell ref="K334:L334"/>
    <mergeCell ref="B330:C330"/>
    <mergeCell ref="K330:L330"/>
    <mergeCell ref="B331:C331"/>
    <mergeCell ref="K331:L331"/>
    <mergeCell ref="B332:C332"/>
    <mergeCell ref="K332:L332"/>
    <mergeCell ref="B352:C352"/>
    <mergeCell ref="C347:D347"/>
    <mergeCell ref="C348:D348"/>
    <mergeCell ref="K344:L346"/>
    <mergeCell ref="K347:L347"/>
    <mergeCell ref="K348:L348"/>
    <mergeCell ref="K349:L351"/>
    <mergeCell ref="K339:L339"/>
    <mergeCell ref="K340:L340"/>
    <mergeCell ref="K337:L337"/>
    <mergeCell ref="K338:L338"/>
    <mergeCell ref="B337:C337"/>
    <mergeCell ref="B338:C338"/>
    <mergeCell ref="B335:C335"/>
    <mergeCell ref="K335:L335"/>
    <mergeCell ref="B322:C322"/>
    <mergeCell ref="K322:L322"/>
    <mergeCell ref="B323:C323"/>
    <mergeCell ref="K323:L323"/>
    <mergeCell ref="B324:C324"/>
    <mergeCell ref="K324:L324"/>
    <mergeCell ref="B325:C325"/>
    <mergeCell ref="K325:L325"/>
    <mergeCell ref="B326:C326"/>
    <mergeCell ref="K326:L326"/>
    <mergeCell ref="B327:C327"/>
    <mergeCell ref="K327:L327"/>
    <mergeCell ref="B328:C328"/>
    <mergeCell ref="K328:L328"/>
    <mergeCell ref="B361:C361"/>
    <mergeCell ref="B362:C362"/>
    <mergeCell ref="B363:C363"/>
    <mergeCell ref="B381:C381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A10:B10"/>
    <mergeCell ref="C10:D10"/>
    <mergeCell ref="B17:D17"/>
    <mergeCell ref="B23:C23"/>
    <mergeCell ref="B24:C24"/>
    <mergeCell ref="C21:D21"/>
    <mergeCell ref="A14:A16"/>
    <mergeCell ref="B14:B16"/>
    <mergeCell ref="C14:D14"/>
    <mergeCell ref="C15:D15"/>
    <mergeCell ref="C16:D16"/>
    <mergeCell ref="A344:A348"/>
    <mergeCell ref="B344:B348"/>
    <mergeCell ref="C344:D344"/>
    <mergeCell ref="C345:D345"/>
    <mergeCell ref="C346:D346"/>
    <mergeCell ref="H390:J390"/>
    <mergeCell ref="B391:E391"/>
    <mergeCell ref="H392:J392"/>
    <mergeCell ref="K392:L392"/>
    <mergeCell ref="A387:C387"/>
    <mergeCell ref="A388:D388"/>
    <mergeCell ref="K388:K391"/>
    <mergeCell ref="L388:L391"/>
    <mergeCell ref="A389:A391"/>
    <mergeCell ref="B389:D389"/>
    <mergeCell ref="H389:J389"/>
    <mergeCell ref="B390:D390"/>
    <mergeCell ref="H391:J391"/>
    <mergeCell ref="K382:L382"/>
    <mergeCell ref="B385:D385"/>
    <mergeCell ref="B386:D386"/>
    <mergeCell ref="K376:L376"/>
    <mergeCell ref="K379:L379"/>
    <mergeCell ref="B382:C382"/>
    <mergeCell ref="B383:C383"/>
    <mergeCell ref="B384:C384"/>
    <mergeCell ref="K370:L370"/>
    <mergeCell ref="K371:L371"/>
    <mergeCell ref="K372:L372"/>
    <mergeCell ref="K385:K386"/>
    <mergeCell ref="L385:L386"/>
    <mergeCell ref="K365:L365"/>
    <mergeCell ref="K369:L369"/>
    <mergeCell ref="K373:L373"/>
    <mergeCell ref="K374:L374"/>
    <mergeCell ref="K377:L377"/>
    <mergeCell ref="K381:L381"/>
    <mergeCell ref="K362:L362"/>
    <mergeCell ref="K363:L363"/>
    <mergeCell ref="K364:L364"/>
    <mergeCell ref="K359:L359"/>
    <mergeCell ref="K360:L360"/>
    <mergeCell ref="K361:L361"/>
    <mergeCell ref="K353:L353"/>
    <mergeCell ref="K357:L357"/>
    <mergeCell ref="K358:L358"/>
    <mergeCell ref="K354:L354"/>
    <mergeCell ref="K355:L355"/>
    <mergeCell ref="K356:L356"/>
    <mergeCell ref="B339:C339"/>
    <mergeCell ref="B340:C340"/>
    <mergeCell ref="B341:C341"/>
    <mergeCell ref="B342:C342"/>
    <mergeCell ref="B343:C343"/>
    <mergeCell ref="B349:C349"/>
    <mergeCell ref="B350:C350"/>
    <mergeCell ref="B351:C351"/>
    <mergeCell ref="K316:L316"/>
    <mergeCell ref="B316:C316"/>
    <mergeCell ref="B317:C317"/>
    <mergeCell ref="K317:L317"/>
    <mergeCell ref="B318:C318"/>
    <mergeCell ref="K318:L318"/>
    <mergeCell ref="B319:C319"/>
    <mergeCell ref="K319:L319"/>
    <mergeCell ref="B320:C320"/>
    <mergeCell ref="K320:L320"/>
    <mergeCell ref="B321:C321"/>
    <mergeCell ref="K321:L321"/>
    <mergeCell ref="B333:C333"/>
    <mergeCell ref="K333:L333"/>
    <mergeCell ref="B336:C336"/>
    <mergeCell ref="K336:L336"/>
    <mergeCell ref="K313:L313"/>
    <mergeCell ref="K314:L314"/>
    <mergeCell ref="K315:L315"/>
    <mergeCell ref="K310:L310"/>
    <mergeCell ref="K311:L311"/>
    <mergeCell ref="K312:L312"/>
    <mergeCell ref="B310:C310"/>
    <mergeCell ref="B311:C311"/>
    <mergeCell ref="B312:C312"/>
    <mergeCell ref="B313:C313"/>
    <mergeCell ref="B314:C314"/>
    <mergeCell ref="B315:C315"/>
    <mergeCell ref="K307:L307"/>
    <mergeCell ref="K308:L308"/>
    <mergeCell ref="K309:L309"/>
    <mergeCell ref="K304:L304"/>
    <mergeCell ref="K305:L305"/>
    <mergeCell ref="K306:L306"/>
    <mergeCell ref="B304:C304"/>
    <mergeCell ref="B305:C305"/>
    <mergeCell ref="B306:C306"/>
    <mergeCell ref="B307:C307"/>
    <mergeCell ref="B308:C308"/>
    <mergeCell ref="B309:C309"/>
    <mergeCell ref="K301:L301"/>
    <mergeCell ref="K302:L302"/>
    <mergeCell ref="K303:L303"/>
    <mergeCell ref="K298:L298"/>
    <mergeCell ref="K299:L299"/>
    <mergeCell ref="K300:L300"/>
    <mergeCell ref="B298:C298"/>
    <mergeCell ref="B299:C299"/>
    <mergeCell ref="B300:C300"/>
    <mergeCell ref="B301:C301"/>
    <mergeCell ref="B302:C302"/>
    <mergeCell ref="B303:C303"/>
    <mergeCell ref="K295:L295"/>
    <mergeCell ref="K296:L296"/>
    <mergeCell ref="K297:L297"/>
    <mergeCell ref="K292:L292"/>
    <mergeCell ref="K293:L293"/>
    <mergeCell ref="K294:L294"/>
    <mergeCell ref="B292:C292"/>
    <mergeCell ref="B293:C293"/>
    <mergeCell ref="B294:C294"/>
    <mergeCell ref="B295:C295"/>
    <mergeCell ref="B296:C296"/>
    <mergeCell ref="B297:C297"/>
    <mergeCell ref="K289:L289"/>
    <mergeCell ref="K290:L290"/>
    <mergeCell ref="K291:L291"/>
    <mergeCell ref="K285:L285"/>
    <mergeCell ref="K286:L286"/>
    <mergeCell ref="K288:L288"/>
    <mergeCell ref="B287:C287"/>
    <mergeCell ref="B288:C288"/>
    <mergeCell ref="B289:C289"/>
    <mergeCell ref="B290:C290"/>
    <mergeCell ref="B291:C291"/>
    <mergeCell ref="B285:C285"/>
    <mergeCell ref="B286:C286"/>
    <mergeCell ref="K282:L282"/>
    <mergeCell ref="K283:L283"/>
    <mergeCell ref="K284:L284"/>
    <mergeCell ref="K280:L280"/>
    <mergeCell ref="K281:L28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K219:L219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K216:L216"/>
    <mergeCell ref="K217:L217"/>
    <mergeCell ref="K218:L218"/>
    <mergeCell ref="K213:L213"/>
    <mergeCell ref="K214:L214"/>
    <mergeCell ref="K215:L215"/>
    <mergeCell ref="B213:C213"/>
    <mergeCell ref="B214:C214"/>
    <mergeCell ref="B215:C215"/>
    <mergeCell ref="B216:C216"/>
    <mergeCell ref="B217:C217"/>
    <mergeCell ref="B218:C218"/>
    <mergeCell ref="K210:L210"/>
    <mergeCell ref="K211:L211"/>
    <mergeCell ref="K212:L212"/>
    <mergeCell ref="K207:L207"/>
    <mergeCell ref="K208:L208"/>
    <mergeCell ref="K209:L209"/>
    <mergeCell ref="B207:C207"/>
    <mergeCell ref="B208:C208"/>
    <mergeCell ref="B209:C209"/>
    <mergeCell ref="B210:C210"/>
    <mergeCell ref="B211:C211"/>
    <mergeCell ref="B212:C212"/>
    <mergeCell ref="K204:L204"/>
    <mergeCell ref="K205:L205"/>
    <mergeCell ref="K206:L206"/>
    <mergeCell ref="K201:L201"/>
    <mergeCell ref="K202:L202"/>
    <mergeCell ref="K203:L203"/>
    <mergeCell ref="B201:C201"/>
    <mergeCell ref="B202:C202"/>
    <mergeCell ref="B203:C203"/>
    <mergeCell ref="B204:C204"/>
    <mergeCell ref="B205:C205"/>
    <mergeCell ref="B206:C206"/>
    <mergeCell ref="K198:L198"/>
    <mergeCell ref="K199:L199"/>
    <mergeCell ref="K200:L200"/>
    <mergeCell ref="K195:L195"/>
    <mergeCell ref="K196:L196"/>
    <mergeCell ref="K197:L197"/>
    <mergeCell ref="B195:C195"/>
    <mergeCell ref="B196:C196"/>
    <mergeCell ref="B197:C197"/>
    <mergeCell ref="B198:C198"/>
    <mergeCell ref="B199:C199"/>
    <mergeCell ref="B200:C200"/>
    <mergeCell ref="K192:L192"/>
    <mergeCell ref="K193:L193"/>
    <mergeCell ref="K194:L194"/>
    <mergeCell ref="K189:L189"/>
    <mergeCell ref="K190:L190"/>
    <mergeCell ref="K191:L191"/>
    <mergeCell ref="B189:C189"/>
    <mergeCell ref="B190:C190"/>
    <mergeCell ref="B191:C191"/>
    <mergeCell ref="B192:C192"/>
    <mergeCell ref="B193:C193"/>
    <mergeCell ref="B194:C194"/>
    <mergeCell ref="K186:L186"/>
    <mergeCell ref="K187:L187"/>
    <mergeCell ref="K188:L188"/>
    <mergeCell ref="K183:L183"/>
    <mergeCell ref="K184:L184"/>
    <mergeCell ref="K185:L185"/>
    <mergeCell ref="B183:C183"/>
    <mergeCell ref="B184:C184"/>
    <mergeCell ref="B185:C185"/>
    <mergeCell ref="B186:C186"/>
    <mergeCell ref="B187:C187"/>
    <mergeCell ref="B188:C188"/>
    <mergeCell ref="K180:L180"/>
    <mergeCell ref="K181:L181"/>
    <mergeCell ref="K182:L182"/>
    <mergeCell ref="K177:L177"/>
    <mergeCell ref="K178:L178"/>
    <mergeCell ref="K179:L179"/>
    <mergeCell ref="B177:C177"/>
    <mergeCell ref="B178:C178"/>
    <mergeCell ref="B179:C179"/>
    <mergeCell ref="B180:C180"/>
    <mergeCell ref="B181:C181"/>
    <mergeCell ref="B182:C182"/>
    <mergeCell ref="K174:L174"/>
    <mergeCell ref="K175:L175"/>
    <mergeCell ref="K176:L176"/>
    <mergeCell ref="K171:L171"/>
    <mergeCell ref="K172:L172"/>
    <mergeCell ref="K173:L173"/>
    <mergeCell ref="B171:C171"/>
    <mergeCell ref="B172:C172"/>
    <mergeCell ref="B173:C173"/>
    <mergeCell ref="B174:C174"/>
    <mergeCell ref="B175:C175"/>
    <mergeCell ref="B176:C176"/>
    <mergeCell ref="K168:L168"/>
    <mergeCell ref="K169:L169"/>
    <mergeCell ref="K170:L170"/>
    <mergeCell ref="K165:L165"/>
    <mergeCell ref="K166:L166"/>
    <mergeCell ref="K167:L167"/>
    <mergeCell ref="B165:C165"/>
    <mergeCell ref="B166:C166"/>
    <mergeCell ref="B167:C167"/>
    <mergeCell ref="B168:C168"/>
    <mergeCell ref="B169:C169"/>
    <mergeCell ref="B170:C170"/>
    <mergeCell ref="K162:L162"/>
    <mergeCell ref="K163:L163"/>
    <mergeCell ref="K164:L164"/>
    <mergeCell ref="K159:L159"/>
    <mergeCell ref="K160:L160"/>
    <mergeCell ref="K161:L161"/>
    <mergeCell ref="B159:C159"/>
    <mergeCell ref="B160:C160"/>
    <mergeCell ref="B161:C161"/>
    <mergeCell ref="B162:C162"/>
    <mergeCell ref="B163:C163"/>
    <mergeCell ref="B164:C164"/>
    <mergeCell ref="K156:L156"/>
    <mergeCell ref="K157:L157"/>
    <mergeCell ref="K158:L158"/>
    <mergeCell ref="K153:L153"/>
    <mergeCell ref="K154:L154"/>
    <mergeCell ref="K155:L155"/>
    <mergeCell ref="B153:C153"/>
    <mergeCell ref="B154:C154"/>
    <mergeCell ref="B155:C155"/>
    <mergeCell ref="B156:C156"/>
    <mergeCell ref="B157:C157"/>
    <mergeCell ref="B158:C158"/>
    <mergeCell ref="K150:L150"/>
    <mergeCell ref="K151:L151"/>
    <mergeCell ref="K152:L152"/>
    <mergeCell ref="K147:L147"/>
    <mergeCell ref="K148:L148"/>
    <mergeCell ref="K149:L149"/>
    <mergeCell ref="B147:C147"/>
    <mergeCell ref="B148:C148"/>
    <mergeCell ref="B149:C149"/>
    <mergeCell ref="B150:C150"/>
    <mergeCell ref="B151:C151"/>
    <mergeCell ref="B152:C152"/>
    <mergeCell ref="K144:L144"/>
    <mergeCell ref="K145:L145"/>
    <mergeCell ref="K146:L146"/>
    <mergeCell ref="K141:L141"/>
    <mergeCell ref="K142:L142"/>
    <mergeCell ref="K143:L143"/>
    <mergeCell ref="B141:C141"/>
    <mergeCell ref="B142:C142"/>
    <mergeCell ref="B143:C143"/>
    <mergeCell ref="B144:C144"/>
    <mergeCell ref="B145:C145"/>
    <mergeCell ref="B146:C146"/>
    <mergeCell ref="K138:L138"/>
    <mergeCell ref="K139:L139"/>
    <mergeCell ref="K140:L140"/>
    <mergeCell ref="K135:L135"/>
    <mergeCell ref="K136:L136"/>
    <mergeCell ref="K137:L137"/>
    <mergeCell ref="B135:C135"/>
    <mergeCell ref="B136:C136"/>
    <mergeCell ref="B137:C137"/>
    <mergeCell ref="B138:C138"/>
    <mergeCell ref="B139:C139"/>
    <mergeCell ref="B140:C140"/>
    <mergeCell ref="K132:L132"/>
    <mergeCell ref="K133:L133"/>
    <mergeCell ref="K134:L134"/>
    <mergeCell ref="K129:L129"/>
    <mergeCell ref="K130:L130"/>
    <mergeCell ref="K131:L131"/>
    <mergeCell ref="B129:C129"/>
    <mergeCell ref="B130:C130"/>
    <mergeCell ref="B131:C131"/>
    <mergeCell ref="B132:C132"/>
    <mergeCell ref="B133:C133"/>
    <mergeCell ref="B134:C134"/>
    <mergeCell ref="K126:L126"/>
    <mergeCell ref="K127:L127"/>
    <mergeCell ref="K128:L128"/>
    <mergeCell ref="K123:L123"/>
    <mergeCell ref="K124:L124"/>
    <mergeCell ref="K125:L125"/>
    <mergeCell ref="B123:C123"/>
    <mergeCell ref="B124:C124"/>
    <mergeCell ref="B125:C125"/>
    <mergeCell ref="B126:C126"/>
    <mergeCell ref="B127:C127"/>
    <mergeCell ref="B128:C128"/>
    <mergeCell ref="K120:L120"/>
    <mergeCell ref="K121:L121"/>
    <mergeCell ref="K122:L122"/>
    <mergeCell ref="K117:L117"/>
    <mergeCell ref="K118:L118"/>
    <mergeCell ref="K119:L119"/>
    <mergeCell ref="B117:C117"/>
    <mergeCell ref="B118:C118"/>
    <mergeCell ref="B119:C119"/>
    <mergeCell ref="B120:C120"/>
    <mergeCell ref="B121:C121"/>
    <mergeCell ref="B122:C122"/>
    <mergeCell ref="K114:L114"/>
    <mergeCell ref="K115:L115"/>
    <mergeCell ref="K116:L116"/>
    <mergeCell ref="K111:L111"/>
    <mergeCell ref="K112:L112"/>
    <mergeCell ref="K113:L113"/>
    <mergeCell ref="B111:C111"/>
    <mergeCell ref="B112:C112"/>
    <mergeCell ref="B113:C113"/>
    <mergeCell ref="B114:C114"/>
    <mergeCell ref="B115:C115"/>
    <mergeCell ref="B116:C116"/>
    <mergeCell ref="K108:L108"/>
    <mergeCell ref="K109:L109"/>
    <mergeCell ref="K110:L110"/>
    <mergeCell ref="K105:L105"/>
    <mergeCell ref="K106:L106"/>
    <mergeCell ref="K107:L107"/>
    <mergeCell ref="B105:C105"/>
    <mergeCell ref="B106:C106"/>
    <mergeCell ref="B107:C107"/>
    <mergeCell ref="B108:C108"/>
    <mergeCell ref="B109:C109"/>
    <mergeCell ref="B110:C110"/>
    <mergeCell ref="K102:L102"/>
    <mergeCell ref="K103:L103"/>
    <mergeCell ref="K104:L104"/>
    <mergeCell ref="K99:L99"/>
    <mergeCell ref="K100:L100"/>
    <mergeCell ref="K101:L101"/>
    <mergeCell ref="B99:C99"/>
    <mergeCell ref="B100:C100"/>
    <mergeCell ref="B101:C101"/>
    <mergeCell ref="B102:C102"/>
    <mergeCell ref="B103:C103"/>
    <mergeCell ref="B104:C104"/>
    <mergeCell ref="K96:L96"/>
    <mergeCell ref="K97:L97"/>
    <mergeCell ref="K98:L98"/>
    <mergeCell ref="K93:L93"/>
    <mergeCell ref="K94:L94"/>
    <mergeCell ref="K95:L95"/>
    <mergeCell ref="B93:C93"/>
    <mergeCell ref="B94:C94"/>
    <mergeCell ref="B95:C95"/>
    <mergeCell ref="B96:C96"/>
    <mergeCell ref="B97:C97"/>
    <mergeCell ref="B98:C98"/>
    <mergeCell ref="K90:L90"/>
    <mergeCell ref="K91:L91"/>
    <mergeCell ref="K92:L92"/>
    <mergeCell ref="K87:L87"/>
    <mergeCell ref="K88:L88"/>
    <mergeCell ref="K89:L89"/>
    <mergeCell ref="B87:C87"/>
    <mergeCell ref="B88:C88"/>
    <mergeCell ref="B89:C89"/>
    <mergeCell ref="B90:C90"/>
    <mergeCell ref="B91:C91"/>
    <mergeCell ref="B92:C92"/>
    <mergeCell ref="K84:L84"/>
    <mergeCell ref="K85:L85"/>
    <mergeCell ref="K86:L86"/>
    <mergeCell ref="K81:L81"/>
    <mergeCell ref="K82:L82"/>
    <mergeCell ref="K83:L83"/>
    <mergeCell ref="B81:C81"/>
    <mergeCell ref="B82:C82"/>
    <mergeCell ref="B83:C83"/>
    <mergeCell ref="B84:C84"/>
    <mergeCell ref="B85:C85"/>
    <mergeCell ref="B86:C86"/>
    <mergeCell ref="K78:L78"/>
    <mergeCell ref="K79:L79"/>
    <mergeCell ref="K80:L80"/>
    <mergeCell ref="K75:L75"/>
    <mergeCell ref="K76:L76"/>
    <mergeCell ref="K77:L77"/>
    <mergeCell ref="B75:C75"/>
    <mergeCell ref="B76:C76"/>
    <mergeCell ref="B77:C77"/>
    <mergeCell ref="B78:C78"/>
    <mergeCell ref="B79:C79"/>
    <mergeCell ref="B80:C80"/>
    <mergeCell ref="K72:L72"/>
    <mergeCell ref="K73:L73"/>
    <mergeCell ref="K74:L74"/>
    <mergeCell ref="K69:L69"/>
    <mergeCell ref="K70:L70"/>
    <mergeCell ref="K71:L71"/>
    <mergeCell ref="B69:C69"/>
    <mergeCell ref="B70:C70"/>
    <mergeCell ref="B71:C71"/>
    <mergeCell ref="B72:C72"/>
    <mergeCell ref="B73:C73"/>
    <mergeCell ref="B74:C74"/>
    <mergeCell ref="K66:L66"/>
    <mergeCell ref="K67:L67"/>
    <mergeCell ref="K68:L68"/>
    <mergeCell ref="K63:L63"/>
    <mergeCell ref="K64:L64"/>
    <mergeCell ref="K65:L65"/>
    <mergeCell ref="B63:C63"/>
    <mergeCell ref="B64:C64"/>
    <mergeCell ref="B65:C65"/>
    <mergeCell ref="B66:C66"/>
    <mergeCell ref="B67:C67"/>
    <mergeCell ref="B68:C68"/>
    <mergeCell ref="K62:L62"/>
    <mergeCell ref="K61:L61"/>
    <mergeCell ref="K57:L57"/>
    <mergeCell ref="K58:L58"/>
    <mergeCell ref="K59:L59"/>
    <mergeCell ref="B57:C57"/>
    <mergeCell ref="B58:C58"/>
    <mergeCell ref="B59:C59"/>
    <mergeCell ref="B60:C60"/>
    <mergeCell ref="B61:C61"/>
    <mergeCell ref="B62:C62"/>
    <mergeCell ref="K54:L54"/>
    <mergeCell ref="K55:L55"/>
    <mergeCell ref="K56:L56"/>
    <mergeCell ref="K51:L51"/>
    <mergeCell ref="K52:L52"/>
    <mergeCell ref="K53:L53"/>
    <mergeCell ref="B51:C51"/>
    <mergeCell ref="B52:C52"/>
    <mergeCell ref="B53:C53"/>
    <mergeCell ref="B54:C54"/>
    <mergeCell ref="B55:C55"/>
    <mergeCell ref="B56:C56"/>
    <mergeCell ref="K48:L48"/>
    <mergeCell ref="K49:L49"/>
    <mergeCell ref="K50:L50"/>
    <mergeCell ref="K45:L45"/>
    <mergeCell ref="K46:L46"/>
    <mergeCell ref="K47:L47"/>
    <mergeCell ref="B45:C45"/>
    <mergeCell ref="B46:C46"/>
    <mergeCell ref="B47:C47"/>
    <mergeCell ref="B48:C48"/>
    <mergeCell ref="B49:C49"/>
    <mergeCell ref="B50:C50"/>
    <mergeCell ref="K42:L42"/>
    <mergeCell ref="K43:L43"/>
    <mergeCell ref="K44:L44"/>
    <mergeCell ref="K39:L39"/>
    <mergeCell ref="K40:L40"/>
    <mergeCell ref="K41:L41"/>
    <mergeCell ref="B39:C39"/>
    <mergeCell ref="B40:C40"/>
    <mergeCell ref="B41:C41"/>
    <mergeCell ref="B42:C42"/>
    <mergeCell ref="B43:C43"/>
    <mergeCell ref="B44:C44"/>
    <mergeCell ref="K36:L36"/>
    <mergeCell ref="K37:L37"/>
    <mergeCell ref="K38:L38"/>
    <mergeCell ref="K32:L32"/>
    <mergeCell ref="K33:L33"/>
    <mergeCell ref="K35:L35"/>
    <mergeCell ref="B32:C32"/>
    <mergeCell ref="B33:C33"/>
    <mergeCell ref="B34:C34"/>
    <mergeCell ref="B35:C35"/>
    <mergeCell ref="B36:C36"/>
    <mergeCell ref="B37:C37"/>
    <mergeCell ref="B38:C38"/>
    <mergeCell ref="K28:L29"/>
    <mergeCell ref="K30:L30"/>
    <mergeCell ref="K31:L31"/>
    <mergeCell ref="K24:L24"/>
    <mergeCell ref="K25:L25"/>
    <mergeCell ref="B25:C25"/>
    <mergeCell ref="B26:C26"/>
    <mergeCell ref="B27:C27"/>
    <mergeCell ref="B28:C28"/>
    <mergeCell ref="B29:C29"/>
    <mergeCell ref="B30:C30"/>
    <mergeCell ref="B31:C31"/>
    <mergeCell ref="K15:L15"/>
    <mergeCell ref="K21:L21"/>
    <mergeCell ref="C22:D22"/>
    <mergeCell ref="K22:L22"/>
    <mergeCell ref="K23:L23"/>
    <mergeCell ref="K17:L17"/>
    <mergeCell ref="A18:A22"/>
    <mergeCell ref="B18:B22"/>
    <mergeCell ref="C18:D18"/>
    <mergeCell ref="K18:L18"/>
    <mergeCell ref="C19:D19"/>
    <mergeCell ref="K19:L19"/>
    <mergeCell ref="C20:D20"/>
    <mergeCell ref="K20:L20"/>
    <mergeCell ref="K16:L16"/>
    <mergeCell ref="K1:L1"/>
    <mergeCell ref="K2:L2"/>
    <mergeCell ref="I3:J3"/>
    <mergeCell ref="K3:L3"/>
    <mergeCell ref="I4:J4"/>
    <mergeCell ref="K4:L4"/>
    <mergeCell ref="A11:A12"/>
    <mergeCell ref="B11:B12"/>
    <mergeCell ref="C11:C12"/>
    <mergeCell ref="D11:D12"/>
    <mergeCell ref="E11:E12"/>
    <mergeCell ref="G5:H5"/>
    <mergeCell ref="G6:H6"/>
    <mergeCell ref="G8:H8"/>
    <mergeCell ref="A5:B5"/>
    <mergeCell ref="A6:B6"/>
    <mergeCell ref="A7:B7"/>
    <mergeCell ref="A8:B8"/>
    <mergeCell ref="A9:B9"/>
    <mergeCell ref="C5:D5"/>
    <mergeCell ref="C6:D6"/>
    <mergeCell ref="C7:D7"/>
    <mergeCell ref="C8:D8"/>
    <mergeCell ref="C9:D9"/>
    <mergeCell ref="A13:E13"/>
    <mergeCell ref="F11:F12"/>
    <mergeCell ref="G11:G12"/>
    <mergeCell ref="H11:H12"/>
    <mergeCell ref="I11:I12"/>
    <mergeCell ref="J11:J12"/>
    <mergeCell ref="K11:L12"/>
    <mergeCell ref="K13:L13"/>
    <mergeCell ref="K14:L14"/>
  </mergeCells>
  <phoneticPr fontId="12" type="noConversion"/>
  <printOptions horizontalCentered="1"/>
  <pageMargins left="0" right="0" top="0.25" bottom="0.25" header="0" footer="0"/>
  <pageSetup scale="85" fitToHeight="0" orientation="portrait" horizontalDpi="300" verticalDpi="300" r:id="rId1"/>
  <headerFooter alignWithMargins="0">
    <oddHeader>&amp;L&amp;"Calibri"&amp;9&amp;K000000Classification: Internal&amp;1#</oddHeader>
    <oddFooter>Page &amp;P</oddFooter>
  </headerFooter>
  <ignoredErrors>
    <ignoredError sqref="D343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59EE0-A708-4066-8F88-19E0795DFE0E}">
  <sheetPr codeName="Sheet4">
    <tabColor rgb="FFFFFF00"/>
  </sheetPr>
  <dimension ref="A1:L374"/>
  <sheetViews>
    <sheetView zoomScale="115" zoomScaleNormal="115" workbookViewId="0">
      <selection activeCell="J12" sqref="J12:K12"/>
    </sheetView>
  </sheetViews>
  <sheetFormatPr defaultRowHeight="12.75"/>
  <cols>
    <col min="1" max="1" width="5.85546875" style="153" customWidth="1"/>
    <col min="2" max="2" width="6.85546875" style="154" customWidth="1"/>
    <col min="3" max="3" width="9.140625" style="149" customWidth="1"/>
    <col min="4" max="4" width="12.5703125" bestFit="1" customWidth="1"/>
    <col min="5" max="5" width="5.42578125" customWidth="1"/>
    <col min="8" max="8" width="18" bestFit="1" customWidth="1"/>
    <col min="9" max="9" width="6.42578125" bestFit="1" customWidth="1"/>
    <col min="10" max="10" width="12" customWidth="1"/>
    <col min="11" max="11" width="13.140625" bestFit="1" customWidth="1"/>
  </cols>
  <sheetData>
    <row r="1" spans="1:12" ht="13.5" thickBot="1">
      <c r="A1" s="630" t="s">
        <v>80</v>
      </c>
      <c r="B1" s="631"/>
      <c r="C1" s="631"/>
      <c r="D1" s="632"/>
      <c r="F1" s="628" t="s">
        <v>121</v>
      </c>
      <c r="G1" s="629"/>
      <c r="H1" s="376">
        <f>4.776/12</f>
        <v>0.39799999999999996</v>
      </c>
      <c r="K1" s="628" t="s">
        <v>100</v>
      </c>
      <c r="L1" s="629"/>
    </row>
    <row r="2" spans="1:12">
      <c r="A2" s="365"/>
      <c r="B2" s="198" t="s">
        <v>77</v>
      </c>
      <c r="C2" s="198" t="s">
        <v>78</v>
      </c>
      <c r="D2" s="366" t="s">
        <v>79</v>
      </c>
      <c r="F2" s="316" t="s">
        <v>156</v>
      </c>
      <c r="G2" s="320">
        <v>6.22</v>
      </c>
      <c r="H2" s="323">
        <f>G2-H1</f>
        <v>5.8220000000000001</v>
      </c>
      <c r="K2" s="199" t="s">
        <v>11</v>
      </c>
      <c r="L2" s="184">
        <v>100.6</v>
      </c>
    </row>
    <row r="3" spans="1:12">
      <c r="A3" s="367" t="s">
        <v>182</v>
      </c>
      <c r="B3" s="223" t="s">
        <v>145</v>
      </c>
      <c r="C3" s="297">
        <v>31.22</v>
      </c>
      <c r="D3" s="368" t="s">
        <v>122</v>
      </c>
      <c r="F3" s="317" t="s">
        <v>157</v>
      </c>
      <c r="G3" s="321">
        <v>6.22</v>
      </c>
      <c r="H3" s="324">
        <f>G3-$H$1</f>
        <v>5.8220000000000001</v>
      </c>
      <c r="K3" s="200" t="s">
        <v>29</v>
      </c>
      <c r="L3" s="185">
        <v>13.26</v>
      </c>
    </row>
    <row r="4" spans="1:12">
      <c r="A4" s="367">
        <v>1</v>
      </c>
      <c r="B4" s="196">
        <v>370</v>
      </c>
      <c r="C4" s="197">
        <v>31.83</v>
      </c>
      <c r="D4" s="369"/>
      <c r="F4" s="399" t="s">
        <v>158</v>
      </c>
      <c r="G4" s="400">
        <v>3.23</v>
      </c>
      <c r="H4" s="401">
        <f t="shared" ref="H4:H11" si="0">G4-$H$1</f>
        <v>2.8319999999999999</v>
      </c>
      <c r="K4" s="200" t="s">
        <v>100</v>
      </c>
      <c r="L4" s="231">
        <f>L2-L3</f>
        <v>87.339999999999989</v>
      </c>
    </row>
    <row r="5" spans="1:12">
      <c r="A5" s="367">
        <v>2</v>
      </c>
      <c r="B5" s="196">
        <f t="shared" ref="B5:B68" si="1">B4-1</f>
        <v>369</v>
      </c>
      <c r="C5" s="197">
        <v>33.520000000000003</v>
      </c>
      <c r="D5" s="369"/>
      <c r="F5" s="399" t="s">
        <v>159</v>
      </c>
      <c r="G5" s="400">
        <v>3.23</v>
      </c>
      <c r="H5" s="401">
        <f t="shared" si="0"/>
        <v>2.8319999999999999</v>
      </c>
      <c r="K5" s="200" t="s">
        <v>155</v>
      </c>
      <c r="L5" s="185">
        <v>90.74</v>
      </c>
    </row>
    <row r="6" spans="1:12">
      <c r="A6" s="367">
        <v>3</v>
      </c>
      <c r="B6" s="196">
        <f t="shared" si="1"/>
        <v>368</v>
      </c>
      <c r="C6" s="197">
        <v>33.17</v>
      </c>
      <c r="D6" s="369"/>
      <c r="F6" s="318" t="s">
        <v>160</v>
      </c>
      <c r="G6" s="322">
        <v>20.22</v>
      </c>
      <c r="H6" s="402">
        <f t="shared" si="0"/>
        <v>19.821999999999999</v>
      </c>
      <c r="I6" t="s">
        <v>181</v>
      </c>
      <c r="K6" s="200"/>
      <c r="L6" s="185"/>
    </row>
    <row r="7" spans="1:12" ht="13.5" thickBot="1">
      <c r="A7" s="367">
        <v>4</v>
      </c>
      <c r="B7" s="196">
        <f t="shared" si="1"/>
        <v>367</v>
      </c>
      <c r="C7" s="197">
        <v>33.33</v>
      </c>
      <c r="D7" s="369"/>
      <c r="F7" s="318" t="s">
        <v>161</v>
      </c>
      <c r="G7" s="322">
        <v>20.21</v>
      </c>
      <c r="H7" s="402">
        <f t="shared" si="0"/>
        <v>19.812000000000001</v>
      </c>
      <c r="K7" s="200"/>
      <c r="L7" s="185"/>
    </row>
    <row r="8" spans="1:12" ht="13.5" thickBot="1">
      <c r="A8" s="367">
        <v>5</v>
      </c>
      <c r="B8" s="196">
        <f t="shared" si="1"/>
        <v>366</v>
      </c>
      <c r="C8" s="197">
        <v>33.53</v>
      </c>
      <c r="D8" s="369"/>
      <c r="F8" s="318" t="s">
        <v>162</v>
      </c>
      <c r="G8" s="322">
        <v>10.199999999999999</v>
      </c>
      <c r="H8" s="402">
        <f t="shared" si="0"/>
        <v>9.8019999999999996</v>
      </c>
      <c r="I8" t="s">
        <v>181</v>
      </c>
      <c r="K8" s="201" t="s">
        <v>125</v>
      </c>
      <c r="L8" s="203">
        <f>L4-(L5+L6+L7)</f>
        <v>-3.4000000000000057</v>
      </c>
    </row>
    <row r="9" spans="1:12">
      <c r="A9" s="367">
        <v>6</v>
      </c>
      <c r="B9" s="196">
        <f t="shared" si="1"/>
        <v>365</v>
      </c>
      <c r="C9" s="197">
        <v>33.46</v>
      </c>
      <c r="D9" s="369"/>
      <c r="F9" s="318" t="s">
        <v>163</v>
      </c>
      <c r="G9" s="322">
        <v>10.210000000000001</v>
      </c>
      <c r="H9" s="402">
        <f t="shared" si="0"/>
        <v>9.8120000000000012</v>
      </c>
    </row>
    <row r="10" spans="1:12">
      <c r="A10" s="367">
        <v>7</v>
      </c>
      <c r="B10" s="196">
        <f t="shared" si="1"/>
        <v>364</v>
      </c>
      <c r="C10" s="197">
        <v>33.619999999999997</v>
      </c>
      <c r="D10" s="369"/>
      <c r="F10" s="318" t="s">
        <v>164</v>
      </c>
      <c r="G10" s="322">
        <v>15.22</v>
      </c>
      <c r="H10" s="402">
        <f t="shared" si="0"/>
        <v>14.822000000000001</v>
      </c>
      <c r="I10" t="s">
        <v>181</v>
      </c>
      <c r="J10" s="641"/>
      <c r="K10" s="641"/>
    </row>
    <row r="11" spans="1:12" ht="13.5" thickBot="1">
      <c r="A11" s="367">
        <v>8</v>
      </c>
      <c r="B11" s="196">
        <f t="shared" si="1"/>
        <v>363</v>
      </c>
      <c r="C11" s="197">
        <v>33.36</v>
      </c>
      <c r="D11" s="369"/>
      <c r="F11" s="403" t="s">
        <v>165</v>
      </c>
      <c r="G11" s="404">
        <v>15.21</v>
      </c>
      <c r="H11" s="405">
        <f t="shared" si="0"/>
        <v>14.812000000000001</v>
      </c>
      <c r="J11" s="641"/>
      <c r="K11" s="641"/>
    </row>
    <row r="12" spans="1:12" ht="13.5" thickBot="1">
      <c r="A12" s="367">
        <v>9</v>
      </c>
      <c r="B12" s="196">
        <f t="shared" si="1"/>
        <v>362</v>
      </c>
      <c r="C12" s="197">
        <v>33.07</v>
      </c>
      <c r="D12" s="369"/>
      <c r="J12" s="641"/>
      <c r="K12" s="641"/>
    </row>
    <row r="13" spans="1:12">
      <c r="A13" s="367">
        <v>10</v>
      </c>
      <c r="B13" s="196">
        <f t="shared" si="1"/>
        <v>361</v>
      </c>
      <c r="C13" s="197">
        <v>33.53</v>
      </c>
      <c r="D13" s="369"/>
      <c r="F13" s="633" t="s">
        <v>105</v>
      </c>
      <c r="G13" s="634"/>
      <c r="H13" s="637" t="s">
        <v>107</v>
      </c>
      <c r="I13" s="639">
        <f>4.868/12</f>
        <v>0.40566666666666668</v>
      </c>
      <c r="J13" s="641"/>
      <c r="K13" s="641"/>
    </row>
    <row r="14" spans="1:12" ht="13.5" thickBot="1">
      <c r="A14" s="367">
        <v>11</v>
      </c>
      <c r="B14" s="196">
        <f t="shared" si="1"/>
        <v>360</v>
      </c>
      <c r="C14" s="197">
        <v>33.43</v>
      </c>
      <c r="D14" s="369"/>
      <c r="F14" s="635"/>
      <c r="G14" s="636"/>
      <c r="H14" s="638"/>
      <c r="I14" s="640"/>
      <c r="J14" s="641"/>
      <c r="K14" s="641"/>
    </row>
    <row r="15" spans="1:12">
      <c r="A15" s="367">
        <v>12</v>
      </c>
      <c r="B15" s="196">
        <f t="shared" si="1"/>
        <v>359</v>
      </c>
      <c r="C15" s="197">
        <v>33.17</v>
      </c>
      <c r="D15" s="369"/>
      <c r="F15" s="309">
        <v>1</v>
      </c>
      <c r="G15" s="312">
        <v>40.770000000000003</v>
      </c>
      <c r="H15" s="377">
        <f>G15-I13</f>
        <v>40.364333333333335</v>
      </c>
      <c r="J15" s="641"/>
      <c r="K15" s="641"/>
    </row>
    <row r="16" spans="1:12" ht="13.5" thickBot="1">
      <c r="A16" s="367">
        <v>13</v>
      </c>
      <c r="B16" s="196">
        <f t="shared" si="1"/>
        <v>358</v>
      </c>
      <c r="C16" s="197">
        <v>32.93</v>
      </c>
      <c r="D16" s="369"/>
      <c r="F16" s="313">
        <v>2</v>
      </c>
      <c r="G16" s="314">
        <v>40.71</v>
      </c>
      <c r="H16" s="378">
        <f>G16-I13</f>
        <v>40.304333333333332</v>
      </c>
      <c r="J16" s="641"/>
      <c r="K16" s="641"/>
    </row>
    <row r="17" spans="1:11" ht="13.5" thickBot="1">
      <c r="A17" s="367">
        <v>14</v>
      </c>
      <c r="B17" s="196">
        <f t="shared" si="1"/>
        <v>357</v>
      </c>
      <c r="C17" s="197">
        <v>33.64</v>
      </c>
      <c r="D17" s="369"/>
      <c r="J17" s="641"/>
      <c r="K17" s="641"/>
    </row>
    <row r="18" spans="1:11">
      <c r="A18" s="367">
        <v>15</v>
      </c>
      <c r="B18" s="196">
        <f t="shared" si="1"/>
        <v>356</v>
      </c>
      <c r="C18" s="197">
        <v>33</v>
      </c>
      <c r="D18" s="369"/>
      <c r="F18" s="633" t="s">
        <v>106</v>
      </c>
      <c r="G18" s="634"/>
      <c r="H18" s="626">
        <f>4.868/12</f>
        <v>0.40566666666666668</v>
      </c>
      <c r="J18" s="641"/>
      <c r="K18" s="641"/>
    </row>
    <row r="19" spans="1:11" ht="13.5" thickBot="1">
      <c r="A19" s="367">
        <v>16</v>
      </c>
      <c r="B19" s="196">
        <f t="shared" si="1"/>
        <v>355</v>
      </c>
      <c r="C19" s="197">
        <v>32.979999999999997</v>
      </c>
      <c r="D19" s="369"/>
      <c r="F19" s="635"/>
      <c r="G19" s="636"/>
      <c r="H19" s="627"/>
      <c r="J19" s="641"/>
      <c r="K19" s="641"/>
    </row>
    <row r="20" spans="1:11">
      <c r="A20" s="367">
        <v>17</v>
      </c>
      <c r="B20" s="196">
        <f t="shared" si="1"/>
        <v>354</v>
      </c>
      <c r="C20" s="197">
        <v>33.35</v>
      </c>
      <c r="D20" s="369"/>
      <c r="F20" s="310">
        <v>1</v>
      </c>
      <c r="G20" s="380">
        <v>10.53</v>
      </c>
      <c r="H20" s="184">
        <f>G20-H18</f>
        <v>10.124333333333333</v>
      </c>
      <c r="J20" s="641"/>
      <c r="K20" s="641"/>
    </row>
    <row r="21" spans="1:11" ht="15">
      <c r="A21" s="367">
        <v>18</v>
      </c>
      <c r="B21" s="196">
        <f t="shared" si="1"/>
        <v>353</v>
      </c>
      <c r="C21" s="197">
        <v>33.11</v>
      </c>
      <c r="D21" s="369"/>
      <c r="E21" s="150"/>
      <c r="F21" s="202">
        <v>2</v>
      </c>
      <c r="G21" s="381">
        <v>10.5</v>
      </c>
      <c r="H21" s="185">
        <f>G21-$H$18</f>
        <v>10.094333333333333</v>
      </c>
      <c r="J21" s="641"/>
      <c r="K21" s="641"/>
    </row>
    <row r="22" spans="1:11" ht="15">
      <c r="A22" s="367">
        <v>19</v>
      </c>
      <c r="B22" s="196">
        <f t="shared" si="1"/>
        <v>352</v>
      </c>
      <c r="C22" s="197">
        <v>33.229999999999997</v>
      </c>
      <c r="D22" s="369"/>
      <c r="E22" s="150"/>
      <c r="F22" s="202">
        <v>3</v>
      </c>
      <c r="G22" s="381">
        <v>3.5</v>
      </c>
      <c r="H22" s="185">
        <f t="shared" ref="H22:H33" si="2">G22-$H$18</f>
        <v>3.0943333333333332</v>
      </c>
      <c r="J22" s="641"/>
      <c r="K22" s="641"/>
    </row>
    <row r="23" spans="1:11" ht="15">
      <c r="A23" s="367">
        <v>20</v>
      </c>
      <c r="B23" s="196">
        <f t="shared" si="1"/>
        <v>351</v>
      </c>
      <c r="C23" s="197">
        <v>33.22</v>
      </c>
      <c r="D23" s="369"/>
      <c r="E23" s="150"/>
      <c r="F23" s="202">
        <v>4</v>
      </c>
      <c r="G23" s="381">
        <v>3.46</v>
      </c>
      <c r="H23" s="185">
        <f t="shared" si="2"/>
        <v>3.0543333333333331</v>
      </c>
      <c r="J23" s="641"/>
      <c r="K23" s="641"/>
    </row>
    <row r="24" spans="1:11" ht="15">
      <c r="A24" s="367">
        <v>21</v>
      </c>
      <c r="B24" s="196">
        <f t="shared" si="1"/>
        <v>350</v>
      </c>
      <c r="C24" s="197">
        <v>33.04</v>
      </c>
      <c r="D24" s="369"/>
      <c r="E24" s="150"/>
      <c r="F24" s="202">
        <v>5</v>
      </c>
      <c r="G24" s="381">
        <v>6.57</v>
      </c>
      <c r="H24" s="185">
        <f t="shared" si="2"/>
        <v>6.1643333333333334</v>
      </c>
      <c r="J24" s="641"/>
      <c r="K24" s="641"/>
    </row>
    <row r="25" spans="1:11">
      <c r="A25" s="367">
        <v>22</v>
      </c>
      <c r="B25" s="196">
        <f t="shared" si="1"/>
        <v>349</v>
      </c>
      <c r="C25" s="197">
        <v>31.72</v>
      </c>
      <c r="D25" s="369"/>
      <c r="F25" s="202">
        <v>6</v>
      </c>
      <c r="G25" s="381">
        <v>6.13</v>
      </c>
      <c r="H25" s="185">
        <f t="shared" si="2"/>
        <v>5.7243333333333331</v>
      </c>
      <c r="J25" s="641"/>
      <c r="K25" s="641"/>
    </row>
    <row r="26" spans="1:11">
      <c r="A26" s="367">
        <v>23</v>
      </c>
      <c r="B26" s="196">
        <f t="shared" si="1"/>
        <v>348</v>
      </c>
      <c r="C26" s="197">
        <v>32.659999999999997</v>
      </c>
      <c r="D26" s="369"/>
      <c r="F26" s="202">
        <v>7</v>
      </c>
      <c r="G26" s="381">
        <v>10.55</v>
      </c>
      <c r="H26" s="185">
        <f t="shared" si="2"/>
        <v>10.144333333333334</v>
      </c>
      <c r="J26" s="641"/>
      <c r="K26" s="641"/>
    </row>
    <row r="27" spans="1:11">
      <c r="A27" s="367">
        <v>24</v>
      </c>
      <c r="B27" s="196">
        <f t="shared" si="1"/>
        <v>347</v>
      </c>
      <c r="C27" s="197">
        <v>33.08</v>
      </c>
      <c r="D27" s="369"/>
      <c r="F27" s="202">
        <v>8</v>
      </c>
      <c r="G27" s="381">
        <v>10.52</v>
      </c>
      <c r="H27" s="185">
        <f t="shared" si="2"/>
        <v>10.114333333333333</v>
      </c>
      <c r="J27" s="641"/>
      <c r="K27" s="641"/>
    </row>
    <row r="28" spans="1:11">
      <c r="A28" s="367">
        <v>25</v>
      </c>
      <c r="B28" s="196">
        <f t="shared" si="1"/>
        <v>346</v>
      </c>
      <c r="C28" s="197">
        <v>33.99</v>
      </c>
      <c r="D28" s="369"/>
      <c r="F28" s="202">
        <v>9</v>
      </c>
      <c r="G28" s="381">
        <v>5.51</v>
      </c>
      <c r="H28" s="185">
        <f t="shared" si="2"/>
        <v>5.1043333333333329</v>
      </c>
      <c r="J28" s="641"/>
      <c r="K28" s="641"/>
    </row>
    <row r="29" spans="1:11">
      <c r="A29" s="367">
        <v>26</v>
      </c>
      <c r="B29" s="196">
        <f t="shared" si="1"/>
        <v>345</v>
      </c>
      <c r="C29" s="197">
        <v>33.619999999999997</v>
      </c>
      <c r="D29" s="369"/>
      <c r="F29" s="202">
        <v>10</v>
      </c>
      <c r="G29" s="381">
        <v>5.48</v>
      </c>
      <c r="H29" s="185">
        <f t="shared" si="2"/>
        <v>5.0743333333333336</v>
      </c>
    </row>
    <row r="30" spans="1:11">
      <c r="A30" s="367">
        <v>27</v>
      </c>
      <c r="B30" s="196">
        <f t="shared" si="1"/>
        <v>344</v>
      </c>
      <c r="C30" s="197">
        <v>33.22</v>
      </c>
      <c r="D30" s="369"/>
      <c r="F30" s="202">
        <v>11</v>
      </c>
      <c r="G30" s="381">
        <v>3.55</v>
      </c>
      <c r="H30" s="185">
        <f t="shared" si="2"/>
        <v>3.144333333333333</v>
      </c>
    </row>
    <row r="31" spans="1:11">
      <c r="A31" s="367">
        <v>28</v>
      </c>
      <c r="B31" s="196">
        <f t="shared" si="1"/>
        <v>343</v>
      </c>
      <c r="C31" s="197">
        <v>33.46</v>
      </c>
      <c r="D31" s="369"/>
      <c r="F31" s="202">
        <v>12</v>
      </c>
      <c r="G31" s="381">
        <v>3.5</v>
      </c>
      <c r="H31" s="185">
        <f t="shared" si="2"/>
        <v>3.0943333333333332</v>
      </c>
    </row>
    <row r="32" spans="1:11">
      <c r="A32" s="367">
        <v>29</v>
      </c>
      <c r="B32" s="196">
        <f t="shared" si="1"/>
        <v>342</v>
      </c>
      <c r="C32" s="197">
        <v>32.93</v>
      </c>
      <c r="D32" s="369"/>
      <c r="F32" s="202">
        <v>13</v>
      </c>
      <c r="G32" s="381">
        <v>5.49</v>
      </c>
      <c r="H32" s="185">
        <f t="shared" si="2"/>
        <v>5.0843333333333334</v>
      </c>
    </row>
    <row r="33" spans="1:8">
      <c r="A33" s="367">
        <v>30</v>
      </c>
      <c r="B33" s="196">
        <f t="shared" si="1"/>
        <v>341</v>
      </c>
      <c r="C33" s="197">
        <v>33.65</v>
      </c>
      <c r="D33" s="369"/>
      <c r="F33" s="202">
        <v>14</v>
      </c>
      <c r="G33" s="381">
        <v>5.5</v>
      </c>
      <c r="H33" s="185">
        <f t="shared" si="2"/>
        <v>5.0943333333333332</v>
      </c>
    </row>
    <row r="34" spans="1:8" ht="13.5" thickBot="1">
      <c r="A34" s="367">
        <v>31</v>
      </c>
      <c r="B34" s="196">
        <f t="shared" si="1"/>
        <v>340</v>
      </c>
      <c r="C34" s="197">
        <v>33.81</v>
      </c>
      <c r="D34" s="369"/>
      <c r="F34" s="311">
        <v>15</v>
      </c>
      <c r="G34" s="382">
        <v>6.58</v>
      </c>
      <c r="H34" s="379">
        <f>G34-$H$18</f>
        <v>6.1743333333333332</v>
      </c>
    </row>
    <row r="35" spans="1:8">
      <c r="A35" s="367">
        <v>32</v>
      </c>
      <c r="B35" s="196">
        <f t="shared" si="1"/>
        <v>339</v>
      </c>
      <c r="C35" s="197">
        <v>33.840000000000003</v>
      </c>
      <c r="D35" s="369"/>
    </row>
    <row r="36" spans="1:8">
      <c r="A36" s="367">
        <v>33</v>
      </c>
      <c r="B36" s="196">
        <f t="shared" si="1"/>
        <v>338</v>
      </c>
      <c r="C36" s="197">
        <v>30.97</v>
      </c>
      <c r="D36" s="369"/>
    </row>
    <row r="37" spans="1:8">
      <c r="A37" s="367">
        <v>34</v>
      </c>
      <c r="B37" s="196">
        <f t="shared" si="1"/>
        <v>337</v>
      </c>
      <c r="C37" s="197">
        <v>32.47</v>
      </c>
      <c r="D37" s="369"/>
    </row>
    <row r="38" spans="1:8">
      <c r="A38" s="367">
        <v>35</v>
      </c>
      <c r="B38" s="196">
        <f t="shared" si="1"/>
        <v>336</v>
      </c>
      <c r="C38" s="197">
        <v>33.700000000000003</v>
      </c>
      <c r="D38" s="369"/>
    </row>
    <row r="39" spans="1:8">
      <c r="A39" s="367">
        <v>36</v>
      </c>
      <c r="B39" s="196">
        <f t="shared" si="1"/>
        <v>335</v>
      </c>
      <c r="C39" s="197">
        <v>33.61</v>
      </c>
      <c r="D39" s="369"/>
    </row>
    <row r="40" spans="1:8">
      <c r="A40" s="367">
        <v>37</v>
      </c>
      <c r="B40" s="196">
        <f t="shared" si="1"/>
        <v>334</v>
      </c>
      <c r="C40" s="197">
        <v>33.549999999999997</v>
      </c>
      <c r="D40" s="369"/>
    </row>
    <row r="41" spans="1:8">
      <c r="A41" s="367">
        <v>38</v>
      </c>
      <c r="B41" s="196">
        <f t="shared" si="1"/>
        <v>333</v>
      </c>
      <c r="C41" s="197">
        <v>32.9</v>
      </c>
      <c r="D41" s="369"/>
    </row>
    <row r="42" spans="1:8">
      <c r="A42" s="367">
        <v>39</v>
      </c>
      <c r="B42" s="196">
        <f t="shared" si="1"/>
        <v>332</v>
      </c>
      <c r="C42" s="197">
        <v>33.520000000000003</v>
      </c>
      <c r="D42" s="369"/>
    </row>
    <row r="43" spans="1:8">
      <c r="A43" s="367">
        <v>40</v>
      </c>
      <c r="B43" s="196">
        <f t="shared" si="1"/>
        <v>331</v>
      </c>
      <c r="C43" s="197">
        <v>33.4</v>
      </c>
      <c r="D43" s="369"/>
    </row>
    <row r="44" spans="1:8">
      <c r="A44" s="367">
        <v>41</v>
      </c>
      <c r="B44" s="196">
        <f t="shared" si="1"/>
        <v>330</v>
      </c>
      <c r="C44" s="197">
        <v>31.99</v>
      </c>
      <c r="D44" s="369"/>
    </row>
    <row r="45" spans="1:8">
      <c r="A45" s="367">
        <v>42</v>
      </c>
      <c r="B45" s="196">
        <f t="shared" si="1"/>
        <v>329</v>
      </c>
      <c r="C45" s="197">
        <v>33.380000000000003</v>
      </c>
      <c r="D45" s="369"/>
    </row>
    <row r="46" spans="1:8">
      <c r="A46" s="367">
        <v>43</v>
      </c>
      <c r="B46" s="196">
        <f t="shared" si="1"/>
        <v>328</v>
      </c>
      <c r="C46" s="197">
        <v>33.590000000000003</v>
      </c>
      <c r="D46" s="369"/>
    </row>
    <row r="47" spans="1:8">
      <c r="A47" s="367">
        <v>44</v>
      </c>
      <c r="B47" s="196">
        <f t="shared" si="1"/>
        <v>327</v>
      </c>
      <c r="C47" s="197">
        <v>33.950000000000003</v>
      </c>
      <c r="D47" s="369"/>
    </row>
    <row r="48" spans="1:8">
      <c r="A48" s="367">
        <v>45</v>
      </c>
      <c r="B48" s="196">
        <f t="shared" si="1"/>
        <v>326</v>
      </c>
      <c r="C48" s="197">
        <v>33.56</v>
      </c>
      <c r="D48" s="369"/>
    </row>
    <row r="49" spans="1:4">
      <c r="A49" s="367">
        <v>46</v>
      </c>
      <c r="B49" s="196">
        <f t="shared" si="1"/>
        <v>325</v>
      </c>
      <c r="C49" s="197">
        <v>33.380000000000003</v>
      </c>
      <c r="D49" s="369"/>
    </row>
    <row r="50" spans="1:4">
      <c r="A50" s="367">
        <v>47</v>
      </c>
      <c r="B50" s="196">
        <f t="shared" si="1"/>
        <v>324</v>
      </c>
      <c r="C50" s="197">
        <v>33.479999999999997</v>
      </c>
      <c r="D50" s="369"/>
    </row>
    <row r="51" spans="1:4">
      <c r="A51" s="367">
        <v>48</v>
      </c>
      <c r="B51" s="196">
        <f t="shared" si="1"/>
        <v>323</v>
      </c>
      <c r="C51" s="197">
        <v>33.79</v>
      </c>
      <c r="D51" s="369"/>
    </row>
    <row r="52" spans="1:4">
      <c r="A52" s="367">
        <v>49</v>
      </c>
      <c r="B52" s="196">
        <f t="shared" si="1"/>
        <v>322</v>
      </c>
      <c r="C52" s="197">
        <v>33.549999999999997</v>
      </c>
      <c r="D52" s="369"/>
    </row>
    <row r="53" spans="1:4">
      <c r="A53" s="367">
        <v>50</v>
      </c>
      <c r="B53" s="196">
        <f t="shared" si="1"/>
        <v>321</v>
      </c>
      <c r="C53" s="197">
        <v>33.26</v>
      </c>
      <c r="D53" s="369"/>
    </row>
    <row r="54" spans="1:4">
      <c r="A54" s="367">
        <v>51</v>
      </c>
      <c r="B54" s="196">
        <f t="shared" si="1"/>
        <v>320</v>
      </c>
      <c r="C54" s="197">
        <v>33.61</v>
      </c>
      <c r="D54" s="369"/>
    </row>
    <row r="55" spans="1:4">
      <c r="A55" s="367">
        <v>52</v>
      </c>
      <c r="B55" s="196">
        <f t="shared" si="1"/>
        <v>319</v>
      </c>
      <c r="C55" s="197">
        <v>33.6</v>
      </c>
      <c r="D55" s="369"/>
    </row>
    <row r="56" spans="1:4">
      <c r="A56" s="367">
        <v>53</v>
      </c>
      <c r="B56" s="196">
        <f t="shared" si="1"/>
        <v>318</v>
      </c>
      <c r="C56" s="197">
        <v>33.57</v>
      </c>
      <c r="D56" s="369"/>
    </row>
    <row r="57" spans="1:4">
      <c r="A57" s="367">
        <v>54</v>
      </c>
      <c r="B57" s="196">
        <f t="shared" si="1"/>
        <v>317</v>
      </c>
      <c r="C57" s="197">
        <v>33.369999999999997</v>
      </c>
      <c r="D57" s="369"/>
    </row>
    <row r="58" spans="1:4">
      <c r="A58" s="367">
        <v>55</v>
      </c>
      <c r="B58" s="196">
        <f t="shared" si="1"/>
        <v>316</v>
      </c>
      <c r="C58" s="197">
        <v>33.200000000000003</v>
      </c>
      <c r="D58" s="369"/>
    </row>
    <row r="59" spans="1:4">
      <c r="A59" s="367">
        <v>56</v>
      </c>
      <c r="B59" s="196">
        <f t="shared" si="1"/>
        <v>315</v>
      </c>
      <c r="C59" s="197">
        <v>33.51</v>
      </c>
      <c r="D59" s="369"/>
    </row>
    <row r="60" spans="1:4">
      <c r="A60" s="367">
        <v>57</v>
      </c>
      <c r="B60" s="196">
        <f t="shared" si="1"/>
        <v>314</v>
      </c>
      <c r="C60" s="197">
        <v>33.53</v>
      </c>
      <c r="D60" s="369"/>
    </row>
    <row r="61" spans="1:4">
      <c r="A61" s="367">
        <v>58</v>
      </c>
      <c r="B61" s="196">
        <f t="shared" si="1"/>
        <v>313</v>
      </c>
      <c r="C61" s="197">
        <v>33.53</v>
      </c>
      <c r="D61" s="369"/>
    </row>
    <row r="62" spans="1:4">
      <c r="A62" s="367">
        <v>59</v>
      </c>
      <c r="B62" s="196">
        <f t="shared" si="1"/>
        <v>312</v>
      </c>
      <c r="C62" s="197">
        <v>33.4</v>
      </c>
      <c r="D62" s="369"/>
    </row>
    <row r="63" spans="1:4">
      <c r="A63" s="367">
        <v>60</v>
      </c>
      <c r="B63" s="196">
        <f t="shared" si="1"/>
        <v>311</v>
      </c>
      <c r="C63" s="197">
        <v>33.200000000000003</v>
      </c>
      <c r="D63" s="369"/>
    </row>
    <row r="64" spans="1:4">
      <c r="A64" s="367">
        <v>61</v>
      </c>
      <c r="B64" s="196">
        <f t="shared" si="1"/>
        <v>310</v>
      </c>
      <c r="C64" s="197">
        <v>33.42</v>
      </c>
      <c r="D64" s="369"/>
    </row>
    <row r="65" spans="1:4">
      <c r="A65" s="367">
        <v>62</v>
      </c>
      <c r="B65" s="196">
        <f t="shared" si="1"/>
        <v>309</v>
      </c>
      <c r="C65" s="197">
        <v>33.340000000000003</v>
      </c>
      <c r="D65" s="369"/>
    </row>
    <row r="66" spans="1:4">
      <c r="A66" s="367">
        <v>63</v>
      </c>
      <c r="B66" s="196">
        <f t="shared" si="1"/>
        <v>308</v>
      </c>
      <c r="C66" s="197">
        <v>33.22</v>
      </c>
      <c r="D66" s="369"/>
    </row>
    <row r="67" spans="1:4">
      <c r="A67" s="367">
        <v>64</v>
      </c>
      <c r="B67" s="196">
        <f t="shared" si="1"/>
        <v>307</v>
      </c>
      <c r="C67" s="197">
        <v>33.549999999999997</v>
      </c>
      <c r="D67" s="369"/>
    </row>
    <row r="68" spans="1:4">
      <c r="A68" s="367">
        <v>65</v>
      </c>
      <c r="B68" s="196">
        <f t="shared" si="1"/>
        <v>306</v>
      </c>
      <c r="C68" s="197">
        <v>33.159999999999997</v>
      </c>
      <c r="D68" s="369"/>
    </row>
    <row r="69" spans="1:4">
      <c r="A69" s="367">
        <v>66</v>
      </c>
      <c r="B69" s="196">
        <f t="shared" ref="B69:B132" si="3">B68-1</f>
        <v>305</v>
      </c>
      <c r="C69" s="197">
        <v>33.17</v>
      </c>
      <c r="D69" s="369"/>
    </row>
    <row r="70" spans="1:4">
      <c r="A70" s="367">
        <v>67</v>
      </c>
      <c r="B70" s="196">
        <f t="shared" si="3"/>
        <v>304</v>
      </c>
      <c r="C70" s="197">
        <v>33.380000000000003</v>
      </c>
      <c r="D70" s="369"/>
    </row>
    <row r="71" spans="1:4">
      <c r="A71" s="367">
        <v>68</v>
      </c>
      <c r="B71" s="196">
        <f t="shared" si="3"/>
        <v>303</v>
      </c>
      <c r="C71" s="197">
        <v>33.090000000000003</v>
      </c>
      <c r="D71" s="369"/>
    </row>
    <row r="72" spans="1:4">
      <c r="A72" s="367">
        <v>69</v>
      </c>
      <c r="B72" s="196">
        <f t="shared" si="3"/>
        <v>302</v>
      </c>
      <c r="C72" s="197">
        <v>33</v>
      </c>
      <c r="D72" s="369"/>
    </row>
    <row r="73" spans="1:4">
      <c r="A73" s="367">
        <v>70</v>
      </c>
      <c r="B73" s="196">
        <f t="shared" si="3"/>
        <v>301</v>
      </c>
      <c r="C73" s="197">
        <v>33.11</v>
      </c>
      <c r="D73" s="369"/>
    </row>
    <row r="74" spans="1:4">
      <c r="A74" s="367">
        <v>71</v>
      </c>
      <c r="B74" s="196">
        <f t="shared" si="3"/>
        <v>300</v>
      </c>
      <c r="C74" s="197">
        <v>33.15</v>
      </c>
      <c r="D74" s="369"/>
    </row>
    <row r="75" spans="1:4">
      <c r="A75" s="367">
        <v>72</v>
      </c>
      <c r="B75" s="196">
        <f t="shared" si="3"/>
        <v>299</v>
      </c>
      <c r="C75" s="197">
        <v>31.95</v>
      </c>
      <c r="D75" s="369"/>
    </row>
    <row r="76" spans="1:4">
      <c r="A76" s="367">
        <v>73</v>
      </c>
      <c r="B76" s="196">
        <f t="shared" si="3"/>
        <v>298</v>
      </c>
      <c r="C76" s="197">
        <v>32.94</v>
      </c>
      <c r="D76" s="369"/>
    </row>
    <row r="77" spans="1:4">
      <c r="A77" s="367">
        <v>74</v>
      </c>
      <c r="B77" s="196">
        <f t="shared" si="3"/>
        <v>297</v>
      </c>
      <c r="C77" s="197">
        <v>33.770000000000003</v>
      </c>
      <c r="D77" s="369"/>
    </row>
    <row r="78" spans="1:4">
      <c r="A78" s="367">
        <v>75</v>
      </c>
      <c r="B78" s="196">
        <f t="shared" si="3"/>
        <v>296</v>
      </c>
      <c r="C78" s="197">
        <v>33.700000000000003</v>
      </c>
      <c r="D78" s="369"/>
    </row>
    <row r="79" spans="1:4">
      <c r="A79" s="367">
        <v>76</v>
      </c>
      <c r="B79" s="196">
        <f t="shared" si="3"/>
        <v>295</v>
      </c>
      <c r="C79" s="197">
        <v>33.43</v>
      </c>
      <c r="D79" s="369"/>
    </row>
    <row r="80" spans="1:4">
      <c r="A80" s="367">
        <v>77</v>
      </c>
      <c r="B80" s="196">
        <f t="shared" si="3"/>
        <v>294</v>
      </c>
      <c r="C80" s="197">
        <v>33.5</v>
      </c>
      <c r="D80" s="369"/>
    </row>
    <row r="81" spans="1:4">
      <c r="A81" s="367">
        <v>78</v>
      </c>
      <c r="B81" s="196">
        <f t="shared" si="3"/>
        <v>293</v>
      </c>
      <c r="C81" s="197">
        <v>33.28</v>
      </c>
      <c r="D81" s="369"/>
    </row>
    <row r="82" spans="1:4">
      <c r="A82" s="367">
        <v>79</v>
      </c>
      <c r="B82" s="196">
        <f t="shared" si="3"/>
        <v>292</v>
      </c>
      <c r="C82" s="197">
        <v>33.35</v>
      </c>
      <c r="D82" s="369"/>
    </row>
    <row r="83" spans="1:4">
      <c r="A83" s="367">
        <v>80</v>
      </c>
      <c r="B83" s="196">
        <f t="shared" si="3"/>
        <v>291</v>
      </c>
      <c r="C83" s="197">
        <v>33.53</v>
      </c>
      <c r="D83" s="369"/>
    </row>
    <row r="84" spans="1:4">
      <c r="A84" s="367">
        <v>81</v>
      </c>
      <c r="B84" s="196">
        <f t="shared" si="3"/>
        <v>290</v>
      </c>
      <c r="C84" s="197">
        <v>33.700000000000003</v>
      </c>
      <c r="D84" s="369"/>
    </row>
    <row r="85" spans="1:4">
      <c r="A85" s="367">
        <v>82</v>
      </c>
      <c r="B85" s="196">
        <f t="shared" si="3"/>
        <v>289</v>
      </c>
      <c r="C85" s="197">
        <v>33.78</v>
      </c>
      <c r="D85" s="369"/>
    </row>
    <row r="86" spans="1:4">
      <c r="A86" s="367">
        <v>83</v>
      </c>
      <c r="B86" s="196">
        <f t="shared" si="3"/>
        <v>288</v>
      </c>
      <c r="C86" s="197">
        <v>33.880000000000003</v>
      </c>
      <c r="D86" s="369"/>
    </row>
    <row r="87" spans="1:4">
      <c r="A87" s="367">
        <v>84</v>
      </c>
      <c r="B87" s="196">
        <f t="shared" si="3"/>
        <v>287</v>
      </c>
      <c r="C87" s="197">
        <v>33.5</v>
      </c>
      <c r="D87" s="369"/>
    </row>
    <row r="88" spans="1:4">
      <c r="A88" s="367">
        <v>85</v>
      </c>
      <c r="B88" s="196">
        <f t="shared" si="3"/>
        <v>286</v>
      </c>
      <c r="C88" s="197">
        <v>32.17</v>
      </c>
      <c r="D88" s="369"/>
    </row>
    <row r="89" spans="1:4">
      <c r="A89" s="367">
        <v>86</v>
      </c>
      <c r="B89" s="196">
        <f t="shared" si="3"/>
        <v>285</v>
      </c>
      <c r="C89" s="197">
        <v>33.31</v>
      </c>
      <c r="D89" s="369"/>
    </row>
    <row r="90" spans="1:4">
      <c r="A90" s="367">
        <v>87</v>
      </c>
      <c r="B90" s="196">
        <f t="shared" si="3"/>
        <v>284</v>
      </c>
      <c r="C90" s="197">
        <v>33.24</v>
      </c>
      <c r="D90" s="369"/>
    </row>
    <row r="91" spans="1:4">
      <c r="A91" s="367">
        <v>88</v>
      </c>
      <c r="B91" s="196">
        <f t="shared" si="3"/>
        <v>283</v>
      </c>
      <c r="C91" s="197">
        <v>33.93</v>
      </c>
      <c r="D91" s="369"/>
    </row>
    <row r="92" spans="1:4">
      <c r="A92" s="367">
        <v>89</v>
      </c>
      <c r="B92" s="196">
        <f t="shared" si="3"/>
        <v>282</v>
      </c>
      <c r="C92" s="197">
        <v>33.020000000000003</v>
      </c>
      <c r="D92" s="369"/>
    </row>
    <row r="93" spans="1:4">
      <c r="A93" s="367">
        <v>90</v>
      </c>
      <c r="B93" s="196">
        <f t="shared" si="3"/>
        <v>281</v>
      </c>
      <c r="C93" s="197">
        <v>33.42</v>
      </c>
      <c r="D93" s="369"/>
    </row>
    <row r="94" spans="1:4">
      <c r="A94" s="367">
        <v>91</v>
      </c>
      <c r="B94" s="196">
        <f t="shared" si="3"/>
        <v>280</v>
      </c>
      <c r="C94" s="197">
        <v>33.69</v>
      </c>
      <c r="D94" s="369"/>
    </row>
    <row r="95" spans="1:4">
      <c r="A95" s="367">
        <v>92</v>
      </c>
      <c r="B95" s="196">
        <f t="shared" si="3"/>
        <v>279</v>
      </c>
      <c r="C95" s="197">
        <v>33.61</v>
      </c>
      <c r="D95" s="369"/>
    </row>
    <row r="96" spans="1:4">
      <c r="A96" s="367">
        <v>93</v>
      </c>
      <c r="B96" s="196">
        <f t="shared" si="3"/>
        <v>278</v>
      </c>
      <c r="C96" s="197">
        <v>33.79</v>
      </c>
      <c r="D96" s="369"/>
    </row>
    <row r="97" spans="1:4">
      <c r="A97" s="367">
        <v>94</v>
      </c>
      <c r="B97" s="196">
        <f t="shared" si="3"/>
        <v>277</v>
      </c>
      <c r="C97" s="197">
        <v>33.32</v>
      </c>
      <c r="D97" s="369"/>
    </row>
    <row r="98" spans="1:4">
      <c r="A98" s="367">
        <v>95</v>
      </c>
      <c r="B98" s="196">
        <f t="shared" si="3"/>
        <v>276</v>
      </c>
      <c r="C98" s="197">
        <v>33.64</v>
      </c>
      <c r="D98" s="369"/>
    </row>
    <row r="99" spans="1:4">
      <c r="A99" s="367">
        <v>96</v>
      </c>
      <c r="B99" s="196">
        <f t="shared" si="3"/>
        <v>275</v>
      </c>
      <c r="C99" s="197">
        <v>33.18</v>
      </c>
      <c r="D99" s="369"/>
    </row>
    <row r="100" spans="1:4">
      <c r="A100" s="367">
        <v>97</v>
      </c>
      <c r="B100" s="196">
        <f t="shared" si="3"/>
        <v>274</v>
      </c>
      <c r="C100" s="197">
        <v>32.92</v>
      </c>
      <c r="D100" s="369"/>
    </row>
    <row r="101" spans="1:4">
      <c r="A101" s="367">
        <v>98</v>
      </c>
      <c r="B101" s="196">
        <f t="shared" si="3"/>
        <v>273</v>
      </c>
      <c r="C101" s="197">
        <v>33.83</v>
      </c>
      <c r="D101" s="369"/>
    </row>
    <row r="102" spans="1:4">
      <c r="A102" s="367">
        <v>99</v>
      </c>
      <c r="B102" s="196">
        <f t="shared" si="3"/>
        <v>272</v>
      </c>
      <c r="C102" s="197">
        <v>33.65</v>
      </c>
      <c r="D102" s="369"/>
    </row>
    <row r="103" spans="1:4">
      <c r="A103" s="367">
        <v>100</v>
      </c>
      <c r="B103" s="196">
        <f t="shared" si="3"/>
        <v>271</v>
      </c>
      <c r="C103" s="197">
        <v>33.94</v>
      </c>
      <c r="D103" s="369"/>
    </row>
    <row r="104" spans="1:4">
      <c r="A104" s="367">
        <v>101</v>
      </c>
      <c r="B104" s="196">
        <f t="shared" si="3"/>
        <v>270</v>
      </c>
      <c r="C104" s="197">
        <v>33.35</v>
      </c>
      <c r="D104" s="369"/>
    </row>
    <row r="105" spans="1:4">
      <c r="A105" s="367">
        <v>102</v>
      </c>
      <c r="B105" s="196">
        <f t="shared" si="3"/>
        <v>269</v>
      </c>
      <c r="C105" s="197">
        <v>33.19</v>
      </c>
      <c r="D105" s="369"/>
    </row>
    <row r="106" spans="1:4">
      <c r="A106" s="367">
        <v>103</v>
      </c>
      <c r="B106" s="196">
        <f t="shared" si="3"/>
        <v>268</v>
      </c>
      <c r="C106" s="197">
        <v>32.01</v>
      </c>
      <c r="D106" s="369"/>
    </row>
    <row r="107" spans="1:4">
      <c r="A107" s="367">
        <v>104</v>
      </c>
      <c r="B107" s="196">
        <f t="shared" si="3"/>
        <v>267</v>
      </c>
      <c r="C107" s="197">
        <v>33.35</v>
      </c>
      <c r="D107" s="369"/>
    </row>
    <row r="108" spans="1:4">
      <c r="A108" s="367">
        <v>105</v>
      </c>
      <c r="B108" s="196">
        <f t="shared" si="3"/>
        <v>266</v>
      </c>
      <c r="C108" s="197">
        <v>33.72</v>
      </c>
      <c r="D108" s="369"/>
    </row>
    <row r="109" spans="1:4">
      <c r="A109" s="367">
        <v>106</v>
      </c>
      <c r="B109" s="196">
        <f t="shared" si="3"/>
        <v>265</v>
      </c>
      <c r="C109" s="197">
        <v>33.61</v>
      </c>
      <c r="D109" s="369"/>
    </row>
    <row r="110" spans="1:4">
      <c r="A110" s="367">
        <v>107</v>
      </c>
      <c r="B110" s="196">
        <f t="shared" si="3"/>
        <v>264</v>
      </c>
      <c r="C110" s="197">
        <v>33.42</v>
      </c>
      <c r="D110" s="369"/>
    </row>
    <row r="111" spans="1:4">
      <c r="A111" s="367">
        <v>108</v>
      </c>
      <c r="B111" s="196">
        <f t="shared" si="3"/>
        <v>263</v>
      </c>
      <c r="C111" s="197">
        <v>33.78</v>
      </c>
      <c r="D111" s="369"/>
    </row>
    <row r="112" spans="1:4">
      <c r="A112" s="367">
        <v>109</v>
      </c>
      <c r="B112" s="196">
        <f t="shared" si="3"/>
        <v>262</v>
      </c>
      <c r="C112" s="197">
        <v>33.56</v>
      </c>
      <c r="D112" s="369"/>
    </row>
    <row r="113" spans="1:4">
      <c r="A113" s="367">
        <v>110</v>
      </c>
      <c r="B113" s="196">
        <f t="shared" si="3"/>
        <v>261</v>
      </c>
      <c r="C113" s="197">
        <v>33.380000000000003</v>
      </c>
      <c r="D113" s="369"/>
    </row>
    <row r="114" spans="1:4">
      <c r="A114" s="367">
        <v>111</v>
      </c>
      <c r="B114" s="196">
        <f t="shared" si="3"/>
        <v>260</v>
      </c>
      <c r="C114" s="197">
        <v>32.92</v>
      </c>
      <c r="D114" s="369"/>
    </row>
    <row r="115" spans="1:4">
      <c r="A115" s="367">
        <v>112</v>
      </c>
      <c r="B115" s="196">
        <f t="shared" si="3"/>
        <v>259</v>
      </c>
      <c r="C115" s="197">
        <v>33.04</v>
      </c>
      <c r="D115" s="369"/>
    </row>
    <row r="116" spans="1:4">
      <c r="A116" s="367">
        <v>113</v>
      </c>
      <c r="B116" s="196">
        <f t="shared" si="3"/>
        <v>258</v>
      </c>
      <c r="C116" s="197">
        <v>33.03</v>
      </c>
      <c r="D116" s="369"/>
    </row>
    <row r="117" spans="1:4">
      <c r="A117" s="367">
        <v>114</v>
      </c>
      <c r="B117" s="196">
        <f t="shared" si="3"/>
        <v>257</v>
      </c>
      <c r="C117" s="197">
        <v>33.020000000000003</v>
      </c>
      <c r="D117" s="369"/>
    </row>
    <row r="118" spans="1:4">
      <c r="A118" s="367">
        <v>115</v>
      </c>
      <c r="B118" s="359">
        <f t="shared" si="3"/>
        <v>256</v>
      </c>
      <c r="C118" s="360">
        <v>33.47</v>
      </c>
      <c r="D118" s="370" t="s">
        <v>178</v>
      </c>
    </row>
    <row r="119" spans="1:4">
      <c r="A119" s="367">
        <v>116</v>
      </c>
      <c r="B119" s="359">
        <f t="shared" si="3"/>
        <v>255</v>
      </c>
      <c r="C119" s="360">
        <v>33.47</v>
      </c>
      <c r="D119" s="370" t="s">
        <v>178</v>
      </c>
    </row>
    <row r="120" spans="1:4">
      <c r="A120" s="367">
        <v>117</v>
      </c>
      <c r="B120" s="196">
        <f t="shared" si="3"/>
        <v>254</v>
      </c>
      <c r="C120" s="197">
        <v>33.51</v>
      </c>
      <c r="D120" s="369"/>
    </row>
    <row r="121" spans="1:4">
      <c r="A121" s="367">
        <v>118</v>
      </c>
      <c r="B121" s="196">
        <f t="shared" si="3"/>
        <v>253</v>
      </c>
      <c r="C121" s="197">
        <v>33.659999999999997</v>
      </c>
      <c r="D121" s="369"/>
    </row>
    <row r="122" spans="1:4">
      <c r="A122" s="367">
        <v>119</v>
      </c>
      <c r="B122" s="196">
        <f t="shared" si="3"/>
        <v>252</v>
      </c>
      <c r="C122" s="197">
        <v>33.54</v>
      </c>
      <c r="D122" s="369"/>
    </row>
    <row r="123" spans="1:4">
      <c r="A123" s="367">
        <v>120</v>
      </c>
      <c r="B123" s="196">
        <f t="shared" si="3"/>
        <v>251</v>
      </c>
      <c r="C123" s="197">
        <v>33.520000000000003</v>
      </c>
      <c r="D123" s="369"/>
    </row>
    <row r="124" spans="1:4">
      <c r="A124" s="367">
        <v>121</v>
      </c>
      <c r="B124" s="196">
        <f t="shared" si="3"/>
        <v>250</v>
      </c>
      <c r="C124" s="197">
        <v>33.64</v>
      </c>
      <c r="D124" s="369"/>
    </row>
    <row r="125" spans="1:4">
      <c r="A125" s="367">
        <v>122</v>
      </c>
      <c r="B125" s="196">
        <f t="shared" si="3"/>
        <v>249</v>
      </c>
      <c r="C125" s="197">
        <v>33.520000000000003</v>
      </c>
      <c r="D125" s="369"/>
    </row>
    <row r="126" spans="1:4">
      <c r="A126" s="367">
        <v>123</v>
      </c>
      <c r="B126" s="196">
        <f t="shared" si="3"/>
        <v>248</v>
      </c>
      <c r="C126" s="197">
        <v>33.19</v>
      </c>
      <c r="D126" s="369"/>
    </row>
    <row r="127" spans="1:4">
      <c r="A127" s="367">
        <v>124</v>
      </c>
      <c r="B127" s="196">
        <f t="shared" si="3"/>
        <v>247</v>
      </c>
      <c r="C127" s="197">
        <v>33.07</v>
      </c>
      <c r="D127" s="369"/>
    </row>
    <row r="128" spans="1:4">
      <c r="A128" s="367">
        <v>125</v>
      </c>
      <c r="B128" s="196">
        <f t="shared" si="3"/>
        <v>246</v>
      </c>
      <c r="C128" s="197">
        <v>33.69</v>
      </c>
      <c r="D128" s="369"/>
    </row>
    <row r="129" spans="1:4">
      <c r="A129" s="367">
        <v>126</v>
      </c>
      <c r="B129" s="196">
        <f t="shared" si="3"/>
        <v>245</v>
      </c>
      <c r="C129" s="197">
        <v>33.79</v>
      </c>
      <c r="D129" s="369"/>
    </row>
    <row r="130" spans="1:4">
      <c r="A130" s="367">
        <v>127</v>
      </c>
      <c r="B130" s="196">
        <f t="shared" si="3"/>
        <v>244</v>
      </c>
      <c r="C130" s="197">
        <v>33.700000000000003</v>
      </c>
      <c r="D130" s="369"/>
    </row>
    <row r="131" spans="1:4">
      <c r="A131" s="367">
        <v>128</v>
      </c>
      <c r="B131" s="196">
        <f t="shared" si="3"/>
        <v>243</v>
      </c>
      <c r="C131" s="197">
        <v>33.58</v>
      </c>
      <c r="D131" s="369"/>
    </row>
    <row r="132" spans="1:4">
      <c r="A132" s="367">
        <v>129</v>
      </c>
      <c r="B132" s="196">
        <f t="shared" si="3"/>
        <v>242</v>
      </c>
      <c r="C132" s="197">
        <v>33.25</v>
      </c>
      <c r="D132" s="369"/>
    </row>
    <row r="133" spans="1:4">
      <c r="A133" s="367">
        <v>130</v>
      </c>
      <c r="B133" s="196">
        <f t="shared" ref="B133:B196" si="4">B132-1</f>
        <v>241</v>
      </c>
      <c r="C133" s="197">
        <v>33.49</v>
      </c>
      <c r="D133" s="369"/>
    </row>
    <row r="134" spans="1:4">
      <c r="A134" s="367">
        <v>131</v>
      </c>
      <c r="B134" s="196">
        <f t="shared" si="4"/>
        <v>240</v>
      </c>
      <c r="C134" s="197">
        <v>33.549999999999997</v>
      </c>
      <c r="D134" s="369"/>
    </row>
    <row r="135" spans="1:4">
      <c r="A135" s="367">
        <v>132</v>
      </c>
      <c r="B135" s="196">
        <f t="shared" si="4"/>
        <v>239</v>
      </c>
      <c r="C135" s="197">
        <v>33.57</v>
      </c>
      <c r="D135" s="369"/>
    </row>
    <row r="136" spans="1:4">
      <c r="A136" s="367">
        <v>133</v>
      </c>
      <c r="B136" s="196">
        <f t="shared" si="4"/>
        <v>238</v>
      </c>
      <c r="C136" s="197">
        <v>33.97</v>
      </c>
      <c r="D136" s="369"/>
    </row>
    <row r="137" spans="1:4">
      <c r="A137" s="367">
        <v>134</v>
      </c>
      <c r="B137" s="196">
        <f t="shared" si="4"/>
        <v>237</v>
      </c>
      <c r="C137" s="197">
        <v>33.94</v>
      </c>
      <c r="D137" s="369"/>
    </row>
    <row r="138" spans="1:4">
      <c r="A138" s="367">
        <v>135</v>
      </c>
      <c r="B138" s="196">
        <f t="shared" si="4"/>
        <v>236</v>
      </c>
      <c r="C138" s="197">
        <v>33.57</v>
      </c>
      <c r="D138" s="369"/>
    </row>
    <row r="139" spans="1:4">
      <c r="A139" s="367">
        <v>136</v>
      </c>
      <c r="B139" s="196">
        <f t="shared" si="4"/>
        <v>235</v>
      </c>
      <c r="C139" s="197">
        <v>33.200000000000003</v>
      </c>
      <c r="D139" s="369"/>
    </row>
    <row r="140" spans="1:4">
      <c r="A140" s="367">
        <v>137</v>
      </c>
      <c r="B140" s="196">
        <f t="shared" si="4"/>
        <v>234</v>
      </c>
      <c r="C140" s="197">
        <v>33.51</v>
      </c>
      <c r="D140" s="369"/>
    </row>
    <row r="141" spans="1:4">
      <c r="A141" s="367">
        <v>138</v>
      </c>
      <c r="B141" s="196">
        <f t="shared" si="4"/>
        <v>233</v>
      </c>
      <c r="C141" s="197">
        <v>33.409999999999997</v>
      </c>
      <c r="D141" s="369"/>
    </row>
    <row r="142" spans="1:4">
      <c r="A142" s="367">
        <v>139</v>
      </c>
      <c r="B142" s="196">
        <f t="shared" si="4"/>
        <v>232</v>
      </c>
      <c r="C142" s="197">
        <v>33.229999999999997</v>
      </c>
      <c r="D142" s="369"/>
    </row>
    <row r="143" spans="1:4">
      <c r="A143" s="367">
        <v>140</v>
      </c>
      <c r="B143" s="196">
        <f t="shared" si="4"/>
        <v>231</v>
      </c>
      <c r="C143" s="197">
        <v>32.28</v>
      </c>
      <c r="D143" s="369"/>
    </row>
    <row r="144" spans="1:4">
      <c r="A144" s="367">
        <v>141</v>
      </c>
      <c r="B144" s="196">
        <f t="shared" si="4"/>
        <v>230</v>
      </c>
      <c r="C144" s="197">
        <v>33.090000000000003</v>
      </c>
      <c r="D144" s="369"/>
    </row>
    <row r="145" spans="1:4">
      <c r="A145" s="367">
        <v>142</v>
      </c>
      <c r="B145" s="196">
        <f t="shared" si="4"/>
        <v>229</v>
      </c>
      <c r="C145" s="197">
        <v>33.47</v>
      </c>
      <c r="D145" s="369"/>
    </row>
    <row r="146" spans="1:4">
      <c r="A146" s="367">
        <v>143</v>
      </c>
      <c r="B146" s="196">
        <f t="shared" si="4"/>
        <v>228</v>
      </c>
      <c r="C146" s="197">
        <v>33.24</v>
      </c>
      <c r="D146" s="369"/>
    </row>
    <row r="147" spans="1:4">
      <c r="A147" s="367">
        <v>144</v>
      </c>
      <c r="B147" s="196">
        <f t="shared" si="4"/>
        <v>227</v>
      </c>
      <c r="C147" s="197">
        <v>33.83</v>
      </c>
      <c r="D147" s="369"/>
    </row>
    <row r="148" spans="1:4">
      <c r="A148" s="367">
        <v>145</v>
      </c>
      <c r="B148" s="196">
        <f t="shared" si="4"/>
        <v>226</v>
      </c>
      <c r="C148" s="197">
        <v>33.24</v>
      </c>
      <c r="D148" s="369"/>
    </row>
    <row r="149" spans="1:4">
      <c r="A149" s="367">
        <v>146</v>
      </c>
      <c r="B149" s="196">
        <f t="shared" si="4"/>
        <v>225</v>
      </c>
      <c r="C149" s="197">
        <v>33.89</v>
      </c>
      <c r="D149" s="369"/>
    </row>
    <row r="150" spans="1:4">
      <c r="A150" s="367">
        <v>147</v>
      </c>
      <c r="B150" s="196">
        <f t="shared" si="4"/>
        <v>224</v>
      </c>
      <c r="C150" s="197">
        <v>33.82</v>
      </c>
      <c r="D150" s="369"/>
    </row>
    <row r="151" spans="1:4">
      <c r="A151" s="367">
        <v>148</v>
      </c>
      <c r="B151" s="196">
        <f t="shared" si="4"/>
        <v>223</v>
      </c>
      <c r="C151" s="197">
        <v>33.76</v>
      </c>
      <c r="D151" s="369"/>
    </row>
    <row r="152" spans="1:4">
      <c r="A152" s="367">
        <v>149</v>
      </c>
      <c r="B152" s="196">
        <f t="shared" si="4"/>
        <v>222</v>
      </c>
      <c r="C152" s="197">
        <v>33.770000000000003</v>
      </c>
      <c r="D152" s="369"/>
    </row>
    <row r="153" spans="1:4">
      <c r="A153" s="367">
        <v>150</v>
      </c>
      <c r="B153" s="196">
        <f t="shared" si="4"/>
        <v>221</v>
      </c>
      <c r="C153" s="197">
        <v>33.39</v>
      </c>
      <c r="D153" s="369"/>
    </row>
    <row r="154" spans="1:4">
      <c r="A154" s="367">
        <v>151</v>
      </c>
      <c r="B154" s="196">
        <f t="shared" si="4"/>
        <v>220</v>
      </c>
      <c r="C154" s="197">
        <v>33.6</v>
      </c>
      <c r="D154" s="369"/>
    </row>
    <row r="155" spans="1:4">
      <c r="A155" s="367">
        <v>152</v>
      </c>
      <c r="B155" s="196">
        <f t="shared" si="4"/>
        <v>219</v>
      </c>
      <c r="C155" s="197">
        <v>33.700000000000003</v>
      </c>
      <c r="D155" s="369"/>
    </row>
    <row r="156" spans="1:4">
      <c r="A156" s="367">
        <v>153</v>
      </c>
      <c r="B156" s="196">
        <f t="shared" si="4"/>
        <v>218</v>
      </c>
      <c r="C156" s="197">
        <v>33.619999999999997</v>
      </c>
      <c r="D156" s="369"/>
    </row>
    <row r="157" spans="1:4">
      <c r="A157" s="367">
        <v>154</v>
      </c>
      <c r="B157" s="196">
        <f t="shared" si="4"/>
        <v>217</v>
      </c>
      <c r="C157" s="197">
        <v>33.4</v>
      </c>
      <c r="D157" s="369"/>
    </row>
    <row r="158" spans="1:4">
      <c r="A158" s="367">
        <v>155</v>
      </c>
      <c r="B158" s="196">
        <f t="shared" si="4"/>
        <v>216</v>
      </c>
      <c r="C158" s="197">
        <v>32.06</v>
      </c>
      <c r="D158" s="369"/>
    </row>
    <row r="159" spans="1:4">
      <c r="A159" s="367">
        <v>156</v>
      </c>
      <c r="B159" s="196">
        <f t="shared" si="4"/>
        <v>215</v>
      </c>
      <c r="C159" s="197">
        <v>33.229999999999997</v>
      </c>
      <c r="D159" s="369"/>
    </row>
    <row r="160" spans="1:4">
      <c r="A160" s="367">
        <v>157</v>
      </c>
      <c r="B160" s="196">
        <f t="shared" si="4"/>
        <v>214</v>
      </c>
      <c r="C160" s="197">
        <v>33.520000000000003</v>
      </c>
      <c r="D160" s="369"/>
    </row>
    <row r="161" spans="1:4">
      <c r="A161" s="367">
        <v>158</v>
      </c>
      <c r="B161" s="196">
        <f t="shared" si="4"/>
        <v>213</v>
      </c>
      <c r="C161" s="197">
        <v>33.770000000000003</v>
      </c>
      <c r="D161" s="369"/>
    </row>
    <row r="162" spans="1:4">
      <c r="A162" s="367">
        <v>159</v>
      </c>
      <c r="B162" s="196">
        <f t="shared" si="4"/>
        <v>212</v>
      </c>
      <c r="C162" s="197">
        <v>33.39</v>
      </c>
      <c r="D162" s="369"/>
    </row>
    <row r="163" spans="1:4">
      <c r="A163" s="367">
        <v>160</v>
      </c>
      <c r="B163" s="196">
        <f t="shared" si="4"/>
        <v>211</v>
      </c>
      <c r="C163" s="197">
        <v>33.28</v>
      </c>
      <c r="D163" s="369"/>
    </row>
    <row r="164" spans="1:4">
      <c r="A164" s="367">
        <v>161</v>
      </c>
      <c r="B164" s="196">
        <f t="shared" si="4"/>
        <v>210</v>
      </c>
      <c r="C164" s="197">
        <v>32.82</v>
      </c>
      <c r="D164" s="369"/>
    </row>
    <row r="165" spans="1:4">
      <c r="A165" s="367">
        <v>162</v>
      </c>
      <c r="B165" s="196">
        <f t="shared" si="4"/>
        <v>209</v>
      </c>
      <c r="C165" s="197">
        <v>33.130000000000003</v>
      </c>
      <c r="D165" s="369"/>
    </row>
    <row r="166" spans="1:4">
      <c r="A166" s="367">
        <v>163</v>
      </c>
      <c r="B166" s="196">
        <f t="shared" si="4"/>
        <v>208</v>
      </c>
      <c r="C166" s="197">
        <v>33.200000000000003</v>
      </c>
      <c r="D166" s="369"/>
    </row>
    <row r="167" spans="1:4">
      <c r="A167" s="367">
        <v>164</v>
      </c>
      <c r="B167" s="196">
        <f t="shared" si="4"/>
        <v>207</v>
      </c>
      <c r="C167" s="197">
        <v>33.01</v>
      </c>
      <c r="D167" s="369"/>
    </row>
    <row r="168" spans="1:4">
      <c r="A168" s="367">
        <v>165</v>
      </c>
      <c r="B168" s="196">
        <f t="shared" si="4"/>
        <v>206</v>
      </c>
      <c r="C168" s="197">
        <v>32.92</v>
      </c>
      <c r="D168" s="369"/>
    </row>
    <row r="169" spans="1:4">
      <c r="A169" s="367">
        <v>166</v>
      </c>
      <c r="B169" s="196">
        <f t="shared" si="4"/>
        <v>205</v>
      </c>
      <c r="C169" s="197">
        <v>33.01</v>
      </c>
      <c r="D169" s="369"/>
    </row>
    <row r="170" spans="1:4">
      <c r="A170" s="367">
        <v>167</v>
      </c>
      <c r="B170" s="196">
        <f t="shared" si="4"/>
        <v>204</v>
      </c>
      <c r="C170" s="197">
        <v>31.52</v>
      </c>
      <c r="D170" s="369"/>
    </row>
    <row r="171" spans="1:4">
      <c r="A171" s="367">
        <v>168</v>
      </c>
      <c r="B171" s="196">
        <f t="shared" si="4"/>
        <v>203</v>
      </c>
      <c r="C171" s="197">
        <v>33.020000000000003</v>
      </c>
      <c r="D171" s="369"/>
    </row>
    <row r="172" spans="1:4">
      <c r="A172" s="367">
        <v>169</v>
      </c>
      <c r="B172" s="196">
        <f t="shared" si="4"/>
        <v>202</v>
      </c>
      <c r="C172" s="197">
        <v>33.43</v>
      </c>
      <c r="D172" s="369"/>
    </row>
    <row r="173" spans="1:4">
      <c r="A173" s="367">
        <v>170</v>
      </c>
      <c r="B173" s="196">
        <f t="shared" si="4"/>
        <v>201</v>
      </c>
      <c r="C173" s="197">
        <v>33.04</v>
      </c>
      <c r="D173" s="369"/>
    </row>
    <row r="174" spans="1:4">
      <c r="A174" s="367">
        <v>171</v>
      </c>
      <c r="B174" s="196">
        <f t="shared" si="4"/>
        <v>200</v>
      </c>
      <c r="C174" s="197">
        <v>33.44</v>
      </c>
      <c r="D174" s="369"/>
    </row>
    <row r="175" spans="1:4">
      <c r="A175" s="367">
        <v>172</v>
      </c>
      <c r="B175" s="196">
        <f t="shared" si="4"/>
        <v>199</v>
      </c>
      <c r="C175" s="197">
        <v>32.72</v>
      </c>
      <c r="D175" s="369"/>
    </row>
    <row r="176" spans="1:4">
      <c r="A176" s="367">
        <v>173</v>
      </c>
      <c r="B176" s="196">
        <f t="shared" si="4"/>
        <v>198</v>
      </c>
      <c r="C176" s="197">
        <v>33</v>
      </c>
      <c r="D176" s="369"/>
    </row>
    <row r="177" spans="1:4">
      <c r="A177" s="367">
        <v>174</v>
      </c>
      <c r="B177" s="196">
        <f t="shared" si="4"/>
        <v>197</v>
      </c>
      <c r="C177" s="197">
        <v>33.22</v>
      </c>
      <c r="D177" s="369"/>
    </row>
    <row r="178" spans="1:4">
      <c r="A178" s="367">
        <v>175</v>
      </c>
      <c r="B178" s="196">
        <f t="shared" si="4"/>
        <v>196</v>
      </c>
      <c r="C178" s="197">
        <v>33.909999999999997</v>
      </c>
      <c r="D178" s="369"/>
    </row>
    <row r="179" spans="1:4">
      <c r="A179" s="367">
        <v>176</v>
      </c>
      <c r="B179" s="196">
        <f t="shared" si="4"/>
        <v>195</v>
      </c>
      <c r="C179" s="197">
        <v>33.409999999999997</v>
      </c>
      <c r="D179" s="369"/>
    </row>
    <row r="180" spans="1:4">
      <c r="A180" s="367">
        <v>177</v>
      </c>
      <c r="B180" s="196">
        <f t="shared" si="4"/>
        <v>194</v>
      </c>
      <c r="C180" s="197">
        <v>33.729999999999997</v>
      </c>
      <c r="D180" s="369"/>
    </row>
    <row r="181" spans="1:4">
      <c r="A181" s="367">
        <v>178</v>
      </c>
      <c r="B181" s="196">
        <f t="shared" si="4"/>
        <v>193</v>
      </c>
      <c r="C181" s="197">
        <v>33.4</v>
      </c>
      <c r="D181" s="369"/>
    </row>
    <row r="182" spans="1:4">
      <c r="A182" s="367">
        <v>179</v>
      </c>
      <c r="B182" s="196">
        <f t="shared" si="4"/>
        <v>192</v>
      </c>
      <c r="C182" s="197">
        <v>33.54</v>
      </c>
      <c r="D182" s="369"/>
    </row>
    <row r="183" spans="1:4">
      <c r="A183" s="367">
        <v>180</v>
      </c>
      <c r="B183" s="196">
        <f t="shared" si="4"/>
        <v>191</v>
      </c>
      <c r="C183" s="197">
        <v>32.97</v>
      </c>
      <c r="D183" s="369"/>
    </row>
    <row r="184" spans="1:4">
      <c r="A184" s="367">
        <v>181</v>
      </c>
      <c r="B184" s="196">
        <f t="shared" si="4"/>
        <v>190</v>
      </c>
      <c r="C184" s="197">
        <v>33.200000000000003</v>
      </c>
      <c r="D184" s="369"/>
    </row>
    <row r="185" spans="1:4">
      <c r="A185" s="367">
        <v>182</v>
      </c>
      <c r="B185" s="196">
        <f t="shared" si="4"/>
        <v>189</v>
      </c>
      <c r="C185" s="197">
        <v>33.64</v>
      </c>
      <c r="D185" s="371"/>
    </row>
    <row r="186" spans="1:4">
      <c r="A186" s="367">
        <v>183</v>
      </c>
      <c r="B186" s="196">
        <f t="shared" si="4"/>
        <v>188</v>
      </c>
      <c r="C186" s="197">
        <v>33.61</v>
      </c>
      <c r="D186" s="371"/>
    </row>
    <row r="187" spans="1:4">
      <c r="A187" s="367">
        <v>184</v>
      </c>
      <c r="B187" s="196">
        <f t="shared" si="4"/>
        <v>187</v>
      </c>
      <c r="C187" s="197">
        <v>33.42</v>
      </c>
      <c r="D187" s="371"/>
    </row>
    <row r="188" spans="1:4">
      <c r="A188" s="367">
        <v>185</v>
      </c>
      <c r="B188" s="196">
        <f t="shared" si="4"/>
        <v>186</v>
      </c>
      <c r="C188" s="197">
        <v>33.869999999999997</v>
      </c>
      <c r="D188" s="371"/>
    </row>
    <row r="189" spans="1:4">
      <c r="A189" s="367">
        <v>186</v>
      </c>
      <c r="B189" s="196">
        <f t="shared" si="4"/>
        <v>185</v>
      </c>
      <c r="C189" s="197">
        <v>33.22</v>
      </c>
      <c r="D189" s="371"/>
    </row>
    <row r="190" spans="1:4">
      <c r="A190" s="367">
        <v>187</v>
      </c>
      <c r="B190" s="196">
        <f t="shared" si="4"/>
        <v>184</v>
      </c>
      <c r="C190" s="197">
        <v>33.049999999999997</v>
      </c>
      <c r="D190" s="371"/>
    </row>
    <row r="191" spans="1:4">
      <c r="A191" s="367">
        <v>188</v>
      </c>
      <c r="B191" s="196">
        <f t="shared" si="4"/>
        <v>183</v>
      </c>
      <c r="C191" s="197">
        <v>33.17</v>
      </c>
      <c r="D191" s="371"/>
    </row>
    <row r="192" spans="1:4">
      <c r="A192" s="367">
        <v>189</v>
      </c>
      <c r="B192" s="196">
        <f t="shared" si="4"/>
        <v>182</v>
      </c>
      <c r="C192" s="197">
        <v>32.729999999999997</v>
      </c>
      <c r="D192" s="371"/>
    </row>
    <row r="193" spans="1:4">
      <c r="A193" s="367">
        <v>190</v>
      </c>
      <c r="B193" s="196">
        <f t="shared" si="4"/>
        <v>181</v>
      </c>
      <c r="C193" s="197">
        <v>33.31</v>
      </c>
      <c r="D193" s="371"/>
    </row>
    <row r="194" spans="1:4">
      <c r="A194" s="367">
        <v>191</v>
      </c>
      <c r="B194" s="196">
        <f t="shared" si="4"/>
        <v>180</v>
      </c>
      <c r="C194" s="197">
        <v>33.04</v>
      </c>
      <c r="D194" s="371"/>
    </row>
    <row r="195" spans="1:4">
      <c r="A195" s="367">
        <v>192</v>
      </c>
      <c r="B195" s="196">
        <f t="shared" si="4"/>
        <v>179</v>
      </c>
      <c r="C195" s="197">
        <v>33.049999999999997</v>
      </c>
      <c r="D195" s="371"/>
    </row>
    <row r="196" spans="1:4">
      <c r="A196" s="367">
        <v>193</v>
      </c>
      <c r="B196" s="196">
        <f t="shared" si="4"/>
        <v>178</v>
      </c>
      <c r="C196" s="197">
        <v>33.14</v>
      </c>
      <c r="D196" s="371"/>
    </row>
    <row r="197" spans="1:4">
      <c r="A197" s="367">
        <v>194</v>
      </c>
      <c r="B197" s="196">
        <f t="shared" ref="B197:B260" si="5">B196-1</f>
        <v>177</v>
      </c>
      <c r="C197" s="197">
        <v>33.29</v>
      </c>
      <c r="D197" s="371"/>
    </row>
    <row r="198" spans="1:4">
      <c r="A198" s="367">
        <v>195</v>
      </c>
      <c r="B198" s="196">
        <f t="shared" si="5"/>
        <v>176</v>
      </c>
      <c r="C198" s="197">
        <v>33.619999999999997</v>
      </c>
      <c r="D198" s="371"/>
    </row>
    <row r="199" spans="1:4">
      <c r="A199" s="367">
        <v>196</v>
      </c>
      <c r="B199" s="196">
        <f t="shared" si="5"/>
        <v>175</v>
      </c>
      <c r="C199" s="197">
        <v>33.21</v>
      </c>
      <c r="D199" s="371"/>
    </row>
    <row r="200" spans="1:4">
      <c r="A200" s="367">
        <v>197</v>
      </c>
      <c r="B200" s="196">
        <f t="shared" si="5"/>
        <v>174</v>
      </c>
      <c r="C200" s="197">
        <v>33.39</v>
      </c>
      <c r="D200" s="371"/>
    </row>
    <row r="201" spans="1:4">
      <c r="A201" s="367">
        <v>198</v>
      </c>
      <c r="B201" s="196">
        <f t="shared" si="5"/>
        <v>173</v>
      </c>
      <c r="C201" s="197">
        <v>32.26</v>
      </c>
      <c r="D201" s="371"/>
    </row>
    <row r="202" spans="1:4">
      <c r="A202" s="367">
        <v>199</v>
      </c>
      <c r="B202" s="196">
        <f t="shared" si="5"/>
        <v>172</v>
      </c>
      <c r="C202" s="197">
        <v>33.83</v>
      </c>
      <c r="D202" s="371"/>
    </row>
    <row r="203" spans="1:4">
      <c r="A203" s="367">
        <v>200</v>
      </c>
      <c r="B203" s="196">
        <f t="shared" si="5"/>
        <v>171</v>
      </c>
      <c r="C203" s="197">
        <v>33.43</v>
      </c>
      <c r="D203" s="371"/>
    </row>
    <row r="204" spans="1:4">
      <c r="A204" s="367">
        <v>201</v>
      </c>
      <c r="B204" s="196">
        <f t="shared" si="5"/>
        <v>170</v>
      </c>
      <c r="C204" s="197">
        <v>33.14</v>
      </c>
      <c r="D204" s="371"/>
    </row>
    <row r="205" spans="1:4">
      <c r="A205" s="367">
        <v>202</v>
      </c>
      <c r="B205" s="196">
        <f t="shared" si="5"/>
        <v>169</v>
      </c>
      <c r="C205" s="197">
        <v>33.1</v>
      </c>
      <c r="D205" s="371"/>
    </row>
    <row r="206" spans="1:4">
      <c r="A206" s="367">
        <v>203</v>
      </c>
      <c r="B206" s="196">
        <f t="shared" si="5"/>
        <v>168</v>
      </c>
      <c r="C206" s="197">
        <v>33.49</v>
      </c>
      <c r="D206" s="371"/>
    </row>
    <row r="207" spans="1:4">
      <c r="A207" s="367">
        <v>204</v>
      </c>
      <c r="B207" s="196">
        <f t="shared" si="5"/>
        <v>167</v>
      </c>
      <c r="C207" s="197">
        <v>33.020000000000003</v>
      </c>
      <c r="D207" s="371"/>
    </row>
    <row r="208" spans="1:4">
      <c r="A208" s="367">
        <v>205</v>
      </c>
      <c r="B208" s="196">
        <f t="shared" si="5"/>
        <v>166</v>
      </c>
      <c r="C208" s="197">
        <v>33.07</v>
      </c>
      <c r="D208" s="371"/>
    </row>
    <row r="209" spans="1:4">
      <c r="A209" s="367">
        <v>206</v>
      </c>
      <c r="B209" s="196">
        <f t="shared" si="5"/>
        <v>165</v>
      </c>
      <c r="C209" s="197">
        <v>33.44</v>
      </c>
      <c r="D209" s="371"/>
    </row>
    <row r="210" spans="1:4">
      <c r="A210" s="367">
        <v>207</v>
      </c>
      <c r="B210" s="196">
        <f t="shared" si="5"/>
        <v>164</v>
      </c>
      <c r="C210" s="197">
        <v>33.54</v>
      </c>
      <c r="D210" s="371"/>
    </row>
    <row r="211" spans="1:4">
      <c r="A211" s="367">
        <v>208</v>
      </c>
      <c r="B211" s="196">
        <f t="shared" si="5"/>
        <v>163</v>
      </c>
      <c r="C211" s="197">
        <v>33.24</v>
      </c>
      <c r="D211" s="371"/>
    </row>
    <row r="212" spans="1:4">
      <c r="A212" s="367">
        <v>209</v>
      </c>
      <c r="B212" s="196">
        <f t="shared" si="5"/>
        <v>162</v>
      </c>
      <c r="C212" s="197">
        <v>33.24</v>
      </c>
      <c r="D212" s="371"/>
    </row>
    <row r="213" spans="1:4">
      <c r="A213" s="367">
        <v>210</v>
      </c>
      <c r="B213" s="196">
        <f t="shared" si="5"/>
        <v>161</v>
      </c>
      <c r="C213" s="197">
        <v>33.159999999999997</v>
      </c>
      <c r="D213" s="371"/>
    </row>
    <row r="214" spans="1:4">
      <c r="A214" s="367">
        <v>211</v>
      </c>
      <c r="B214" s="196">
        <f t="shared" si="5"/>
        <v>160</v>
      </c>
      <c r="C214" s="197">
        <v>33.729999999999997</v>
      </c>
      <c r="D214" s="371"/>
    </row>
    <row r="215" spans="1:4">
      <c r="A215" s="367">
        <v>212</v>
      </c>
      <c r="B215" s="196">
        <f t="shared" si="5"/>
        <v>159</v>
      </c>
      <c r="C215" s="197">
        <v>33.520000000000003</v>
      </c>
      <c r="D215" s="371"/>
    </row>
    <row r="216" spans="1:4">
      <c r="A216" s="367">
        <v>213</v>
      </c>
      <c r="B216" s="196">
        <f t="shared" si="5"/>
        <v>158</v>
      </c>
      <c r="C216" s="197">
        <v>33.47</v>
      </c>
      <c r="D216" s="371"/>
    </row>
    <row r="217" spans="1:4">
      <c r="A217" s="367">
        <v>214</v>
      </c>
      <c r="B217" s="196">
        <f t="shared" si="5"/>
        <v>157</v>
      </c>
      <c r="C217" s="197">
        <v>33</v>
      </c>
      <c r="D217" s="371"/>
    </row>
    <row r="218" spans="1:4">
      <c r="A218" s="367">
        <v>215</v>
      </c>
      <c r="B218" s="196">
        <f t="shared" si="5"/>
        <v>156</v>
      </c>
      <c r="C218" s="197">
        <v>31.86</v>
      </c>
      <c r="D218" s="371"/>
    </row>
    <row r="219" spans="1:4">
      <c r="A219" s="367">
        <v>216</v>
      </c>
      <c r="B219" s="196">
        <f t="shared" si="5"/>
        <v>155</v>
      </c>
      <c r="C219" s="197">
        <v>33.590000000000003</v>
      </c>
      <c r="D219" s="371"/>
    </row>
    <row r="220" spans="1:4">
      <c r="A220" s="367">
        <v>217</v>
      </c>
      <c r="B220" s="196">
        <f t="shared" si="5"/>
        <v>154</v>
      </c>
      <c r="C220" s="197">
        <v>33.700000000000003</v>
      </c>
      <c r="D220" s="371"/>
    </row>
    <row r="221" spans="1:4">
      <c r="A221" s="367">
        <v>218</v>
      </c>
      <c r="B221" s="196">
        <f t="shared" si="5"/>
        <v>153</v>
      </c>
      <c r="C221" s="197">
        <v>33.549999999999997</v>
      </c>
      <c r="D221" s="371"/>
    </row>
    <row r="222" spans="1:4">
      <c r="A222" s="367">
        <v>219</v>
      </c>
      <c r="B222" s="196">
        <f t="shared" si="5"/>
        <v>152</v>
      </c>
      <c r="C222" s="197">
        <v>33.700000000000003</v>
      </c>
      <c r="D222" s="371"/>
    </row>
    <row r="223" spans="1:4">
      <c r="A223" s="367">
        <v>220</v>
      </c>
      <c r="B223" s="196">
        <f t="shared" si="5"/>
        <v>151</v>
      </c>
      <c r="C223" s="197">
        <v>33.119999999999997</v>
      </c>
      <c r="D223" s="371"/>
    </row>
    <row r="224" spans="1:4">
      <c r="A224" s="367">
        <v>221</v>
      </c>
      <c r="B224" s="196">
        <f t="shared" si="5"/>
        <v>150</v>
      </c>
      <c r="C224" s="197">
        <v>32.93</v>
      </c>
      <c r="D224" s="371"/>
    </row>
    <row r="225" spans="1:4">
      <c r="A225" s="367">
        <v>222</v>
      </c>
      <c r="B225" s="196">
        <f t="shared" si="5"/>
        <v>149</v>
      </c>
      <c r="C225" s="197">
        <v>33.03</v>
      </c>
      <c r="D225" s="371"/>
    </row>
    <row r="226" spans="1:4">
      <c r="A226" s="367">
        <v>223</v>
      </c>
      <c r="B226" s="196">
        <f t="shared" si="5"/>
        <v>148</v>
      </c>
      <c r="C226" s="197">
        <v>32.92</v>
      </c>
      <c r="D226" s="371"/>
    </row>
    <row r="227" spans="1:4">
      <c r="A227" s="367">
        <v>224</v>
      </c>
      <c r="B227" s="196">
        <f t="shared" si="5"/>
        <v>147</v>
      </c>
      <c r="C227" s="197">
        <v>33</v>
      </c>
      <c r="D227" s="371"/>
    </row>
    <row r="228" spans="1:4">
      <c r="A228" s="367">
        <v>225</v>
      </c>
      <c r="B228" s="196">
        <f t="shared" si="5"/>
        <v>146</v>
      </c>
      <c r="C228" s="197">
        <v>33.9</v>
      </c>
      <c r="D228" s="371"/>
    </row>
    <row r="229" spans="1:4">
      <c r="A229" s="367">
        <v>226</v>
      </c>
      <c r="B229" s="196">
        <f t="shared" si="5"/>
        <v>145</v>
      </c>
      <c r="C229" s="197">
        <v>33.869999999999997</v>
      </c>
      <c r="D229" s="371"/>
    </row>
    <row r="230" spans="1:4">
      <c r="A230" s="367">
        <v>227</v>
      </c>
      <c r="B230" s="196">
        <f t="shared" si="5"/>
        <v>144</v>
      </c>
      <c r="C230" s="197">
        <v>33.29</v>
      </c>
      <c r="D230" s="371"/>
    </row>
    <row r="231" spans="1:4">
      <c r="A231" s="367">
        <v>228</v>
      </c>
      <c r="B231" s="196">
        <f t="shared" si="5"/>
        <v>143</v>
      </c>
      <c r="C231" s="197">
        <v>33.42</v>
      </c>
      <c r="D231" s="371"/>
    </row>
    <row r="232" spans="1:4">
      <c r="A232" s="367">
        <v>229</v>
      </c>
      <c r="B232" s="196">
        <f t="shared" si="5"/>
        <v>142</v>
      </c>
      <c r="C232" s="197">
        <v>33.65</v>
      </c>
      <c r="D232" s="371"/>
    </row>
    <row r="233" spans="1:4">
      <c r="A233" s="367">
        <v>230</v>
      </c>
      <c r="B233" s="196">
        <f t="shared" si="5"/>
        <v>141</v>
      </c>
      <c r="C233" s="197">
        <v>33.18</v>
      </c>
      <c r="D233" s="371"/>
    </row>
    <row r="234" spans="1:4">
      <c r="A234" s="367">
        <v>231</v>
      </c>
      <c r="B234" s="196">
        <f t="shared" si="5"/>
        <v>140</v>
      </c>
      <c r="C234" s="197">
        <v>33.880000000000003</v>
      </c>
      <c r="D234" s="371"/>
    </row>
    <row r="235" spans="1:4">
      <c r="A235" s="367">
        <v>232</v>
      </c>
      <c r="B235" s="196">
        <f t="shared" si="5"/>
        <v>139</v>
      </c>
      <c r="C235" s="197">
        <v>33.56</v>
      </c>
      <c r="D235" s="371"/>
    </row>
    <row r="236" spans="1:4">
      <c r="A236" s="367">
        <v>233</v>
      </c>
      <c r="B236" s="196">
        <f t="shared" si="5"/>
        <v>138</v>
      </c>
      <c r="C236" s="197">
        <v>33.200000000000003</v>
      </c>
      <c r="D236" s="371"/>
    </row>
    <row r="237" spans="1:4">
      <c r="A237" s="367">
        <v>234</v>
      </c>
      <c r="B237" s="196">
        <f t="shared" si="5"/>
        <v>137</v>
      </c>
      <c r="C237" s="197">
        <v>33.56</v>
      </c>
      <c r="D237" s="371"/>
    </row>
    <row r="238" spans="1:4">
      <c r="A238" s="367">
        <v>235</v>
      </c>
      <c r="B238" s="196">
        <f t="shared" si="5"/>
        <v>136</v>
      </c>
      <c r="C238" s="197">
        <v>33.36</v>
      </c>
      <c r="D238" s="371"/>
    </row>
    <row r="239" spans="1:4">
      <c r="A239" s="367">
        <v>236</v>
      </c>
      <c r="B239" s="196">
        <f t="shared" si="5"/>
        <v>135</v>
      </c>
      <c r="C239" s="197">
        <v>33.42</v>
      </c>
      <c r="D239" s="371"/>
    </row>
    <row r="240" spans="1:4">
      <c r="A240" s="367">
        <v>237</v>
      </c>
      <c r="B240" s="196">
        <f t="shared" si="5"/>
        <v>134</v>
      </c>
      <c r="C240" s="197">
        <v>33.93</v>
      </c>
      <c r="D240" s="371"/>
    </row>
    <row r="241" spans="1:4">
      <c r="A241" s="367">
        <v>238</v>
      </c>
      <c r="B241" s="196">
        <f t="shared" si="5"/>
        <v>133</v>
      </c>
      <c r="C241" s="197">
        <v>33.64</v>
      </c>
      <c r="D241" s="371"/>
    </row>
    <row r="242" spans="1:4">
      <c r="A242" s="367">
        <v>239</v>
      </c>
      <c r="B242" s="196">
        <f t="shared" si="5"/>
        <v>132</v>
      </c>
      <c r="C242" s="197">
        <v>33.130000000000003</v>
      </c>
      <c r="D242" s="371"/>
    </row>
    <row r="243" spans="1:4">
      <c r="A243" s="367">
        <v>240</v>
      </c>
      <c r="B243" s="196">
        <f t="shared" si="5"/>
        <v>131</v>
      </c>
      <c r="C243" s="197">
        <v>33.159999999999997</v>
      </c>
      <c r="D243" s="371"/>
    </row>
    <row r="244" spans="1:4">
      <c r="A244" s="367">
        <v>241</v>
      </c>
      <c r="B244" s="196">
        <f t="shared" si="5"/>
        <v>130</v>
      </c>
      <c r="C244" s="197">
        <v>33.909999999999997</v>
      </c>
      <c r="D244" s="371"/>
    </row>
    <row r="245" spans="1:4">
      <c r="A245" s="367">
        <v>242</v>
      </c>
      <c r="B245" s="196">
        <f t="shared" si="5"/>
        <v>129</v>
      </c>
      <c r="C245" s="197">
        <v>33.76</v>
      </c>
      <c r="D245" s="371"/>
    </row>
    <row r="246" spans="1:4">
      <c r="A246" s="367">
        <v>243</v>
      </c>
      <c r="B246" s="196">
        <f t="shared" si="5"/>
        <v>128</v>
      </c>
      <c r="C246" s="197">
        <v>33.340000000000003</v>
      </c>
      <c r="D246" s="371"/>
    </row>
    <row r="247" spans="1:4">
      <c r="A247" s="367">
        <v>244</v>
      </c>
      <c r="B247" s="196">
        <f t="shared" si="5"/>
        <v>127</v>
      </c>
      <c r="C247" s="197">
        <v>33.49</v>
      </c>
      <c r="D247" s="371"/>
    </row>
    <row r="248" spans="1:4">
      <c r="A248" s="367">
        <v>245</v>
      </c>
      <c r="B248" s="196">
        <f t="shared" si="5"/>
        <v>126</v>
      </c>
      <c r="C248" s="197">
        <v>32.049999999999997</v>
      </c>
      <c r="D248" s="371"/>
    </row>
    <row r="249" spans="1:4">
      <c r="A249" s="367">
        <v>246</v>
      </c>
      <c r="B249" s="196">
        <f t="shared" si="5"/>
        <v>125</v>
      </c>
      <c r="C249" s="197">
        <v>33.659999999999997</v>
      </c>
      <c r="D249" s="371"/>
    </row>
    <row r="250" spans="1:4">
      <c r="A250" s="367">
        <v>247</v>
      </c>
      <c r="B250" s="196">
        <f t="shared" si="5"/>
        <v>124</v>
      </c>
      <c r="C250" s="197">
        <v>33.200000000000003</v>
      </c>
      <c r="D250" s="371"/>
    </row>
    <row r="251" spans="1:4">
      <c r="A251" s="367">
        <v>248</v>
      </c>
      <c r="B251" s="196">
        <f t="shared" si="5"/>
        <v>123</v>
      </c>
      <c r="C251" s="197">
        <v>33.119999999999997</v>
      </c>
      <c r="D251" s="371"/>
    </row>
    <row r="252" spans="1:4">
      <c r="A252" s="367">
        <v>249</v>
      </c>
      <c r="B252" s="196">
        <f t="shared" si="5"/>
        <v>122</v>
      </c>
      <c r="C252" s="197">
        <v>33.58</v>
      </c>
      <c r="D252" s="371"/>
    </row>
    <row r="253" spans="1:4">
      <c r="A253" s="367">
        <v>250</v>
      </c>
      <c r="B253" s="196">
        <f t="shared" si="5"/>
        <v>121</v>
      </c>
      <c r="C253" s="197">
        <v>32.880000000000003</v>
      </c>
      <c r="D253" s="371"/>
    </row>
    <row r="254" spans="1:4">
      <c r="A254" s="367">
        <v>251</v>
      </c>
      <c r="B254" s="196">
        <f t="shared" si="5"/>
        <v>120</v>
      </c>
      <c r="C254" s="197">
        <v>32.74</v>
      </c>
      <c r="D254" s="371"/>
    </row>
    <row r="255" spans="1:4">
      <c r="A255" s="367">
        <v>252</v>
      </c>
      <c r="B255" s="196">
        <f t="shared" si="5"/>
        <v>119</v>
      </c>
      <c r="C255" s="197">
        <v>31.4</v>
      </c>
      <c r="D255" s="371"/>
    </row>
    <row r="256" spans="1:4">
      <c r="A256" s="367">
        <v>253</v>
      </c>
      <c r="B256" s="196">
        <f t="shared" si="5"/>
        <v>118</v>
      </c>
      <c r="C256" s="197">
        <v>33.799999999999997</v>
      </c>
      <c r="D256" s="371"/>
    </row>
    <row r="257" spans="1:4">
      <c r="A257" s="367">
        <v>254</v>
      </c>
      <c r="B257" s="196">
        <f t="shared" si="5"/>
        <v>117</v>
      </c>
      <c r="C257" s="197">
        <v>33.700000000000003</v>
      </c>
      <c r="D257" s="371"/>
    </row>
    <row r="258" spans="1:4">
      <c r="A258" s="367">
        <v>255</v>
      </c>
      <c r="B258" s="196">
        <f t="shared" si="5"/>
        <v>116</v>
      </c>
      <c r="C258" s="197">
        <v>33.44</v>
      </c>
      <c r="D258" s="371"/>
    </row>
    <row r="259" spans="1:4">
      <c r="A259" s="367">
        <v>256</v>
      </c>
      <c r="B259" s="196">
        <f t="shared" si="5"/>
        <v>115</v>
      </c>
      <c r="C259" s="197">
        <v>33.6</v>
      </c>
      <c r="D259" s="371"/>
    </row>
    <row r="260" spans="1:4">
      <c r="A260" s="367">
        <v>257</v>
      </c>
      <c r="B260" s="196">
        <f t="shared" si="5"/>
        <v>114</v>
      </c>
      <c r="C260" s="197">
        <v>33.75</v>
      </c>
      <c r="D260" s="371"/>
    </row>
    <row r="261" spans="1:4">
      <c r="A261" s="367">
        <v>258</v>
      </c>
      <c r="B261" s="196">
        <f t="shared" ref="B261:B324" si="6">B260-1</f>
        <v>113</v>
      </c>
      <c r="C261" s="197">
        <v>33.72</v>
      </c>
      <c r="D261" s="371"/>
    </row>
    <row r="262" spans="1:4">
      <c r="A262" s="367">
        <v>259</v>
      </c>
      <c r="B262" s="196">
        <f t="shared" si="6"/>
        <v>112</v>
      </c>
      <c r="C262" s="197">
        <v>33.520000000000003</v>
      </c>
      <c r="D262" s="371"/>
    </row>
    <row r="263" spans="1:4">
      <c r="A263" s="367">
        <v>260</v>
      </c>
      <c r="B263" s="196">
        <f t="shared" si="6"/>
        <v>111</v>
      </c>
      <c r="C263" s="197">
        <v>33.880000000000003</v>
      </c>
      <c r="D263" s="371"/>
    </row>
    <row r="264" spans="1:4">
      <c r="A264" s="367">
        <v>261</v>
      </c>
      <c r="B264" s="196">
        <f t="shared" si="6"/>
        <v>110</v>
      </c>
      <c r="C264" s="197">
        <v>33.61</v>
      </c>
      <c r="D264" s="371"/>
    </row>
    <row r="265" spans="1:4">
      <c r="A265" s="367">
        <v>262</v>
      </c>
      <c r="B265" s="196">
        <f t="shared" si="6"/>
        <v>109</v>
      </c>
      <c r="C265" s="197">
        <v>33.450000000000003</v>
      </c>
      <c r="D265" s="371"/>
    </row>
    <row r="266" spans="1:4">
      <c r="A266" s="367">
        <v>263</v>
      </c>
      <c r="B266" s="196">
        <f t="shared" si="6"/>
        <v>108</v>
      </c>
      <c r="C266" s="197">
        <v>33.71</v>
      </c>
      <c r="D266" s="371"/>
    </row>
    <row r="267" spans="1:4">
      <c r="A267" s="367">
        <v>264</v>
      </c>
      <c r="B267" s="196">
        <f t="shared" si="6"/>
        <v>107</v>
      </c>
      <c r="C267" s="197">
        <v>33.5</v>
      </c>
      <c r="D267" s="371"/>
    </row>
    <row r="268" spans="1:4">
      <c r="A268" s="367">
        <v>265</v>
      </c>
      <c r="B268" s="196">
        <f t="shared" si="6"/>
        <v>106</v>
      </c>
      <c r="C268" s="197">
        <v>33.83</v>
      </c>
      <c r="D268" s="371"/>
    </row>
    <row r="269" spans="1:4">
      <c r="A269" s="367">
        <v>266</v>
      </c>
      <c r="B269" s="196">
        <f t="shared" si="6"/>
        <v>105</v>
      </c>
      <c r="C269" s="197">
        <v>33.74</v>
      </c>
      <c r="D269" s="371"/>
    </row>
    <row r="270" spans="1:4">
      <c r="A270" s="367">
        <v>267</v>
      </c>
      <c r="B270" s="196">
        <f t="shared" si="6"/>
        <v>104</v>
      </c>
      <c r="C270" s="197">
        <v>33.61</v>
      </c>
      <c r="D270" s="371"/>
    </row>
    <row r="271" spans="1:4">
      <c r="A271" s="367">
        <v>268</v>
      </c>
      <c r="B271" s="196">
        <f t="shared" si="6"/>
        <v>103</v>
      </c>
      <c r="C271" s="197">
        <v>33.68</v>
      </c>
      <c r="D271" s="371"/>
    </row>
    <row r="272" spans="1:4">
      <c r="A272" s="367">
        <v>269</v>
      </c>
      <c r="B272" s="196">
        <f t="shared" si="6"/>
        <v>102</v>
      </c>
      <c r="C272" s="197">
        <v>33.39</v>
      </c>
      <c r="D272" s="371"/>
    </row>
    <row r="273" spans="1:4">
      <c r="A273" s="367">
        <v>270</v>
      </c>
      <c r="B273" s="196">
        <f t="shared" si="6"/>
        <v>101</v>
      </c>
      <c r="C273" s="197">
        <v>33.44</v>
      </c>
      <c r="D273" s="371"/>
    </row>
    <row r="274" spans="1:4">
      <c r="A274" s="367">
        <v>271</v>
      </c>
      <c r="B274" s="196">
        <f t="shared" si="6"/>
        <v>100</v>
      </c>
      <c r="C274" s="197">
        <v>33.5</v>
      </c>
      <c r="D274" s="371"/>
    </row>
    <row r="275" spans="1:4">
      <c r="A275" s="367">
        <v>272</v>
      </c>
      <c r="B275" s="196">
        <f t="shared" si="6"/>
        <v>99</v>
      </c>
      <c r="C275" s="197">
        <v>33.700000000000003</v>
      </c>
      <c r="D275" s="371"/>
    </row>
    <row r="276" spans="1:4">
      <c r="A276" s="367">
        <v>273</v>
      </c>
      <c r="B276" s="196">
        <f t="shared" si="6"/>
        <v>98</v>
      </c>
      <c r="C276" s="197">
        <v>33.75</v>
      </c>
      <c r="D276" s="371"/>
    </row>
    <row r="277" spans="1:4">
      <c r="A277" s="367">
        <v>274</v>
      </c>
      <c r="B277" s="196">
        <f t="shared" si="6"/>
        <v>97</v>
      </c>
      <c r="C277" s="197">
        <v>33.81</v>
      </c>
      <c r="D277" s="371"/>
    </row>
    <row r="278" spans="1:4">
      <c r="A278" s="367">
        <v>275</v>
      </c>
      <c r="B278" s="196">
        <f t="shared" si="6"/>
        <v>96</v>
      </c>
      <c r="C278" s="197">
        <v>33.5</v>
      </c>
      <c r="D278" s="371"/>
    </row>
    <row r="279" spans="1:4">
      <c r="A279" s="367">
        <v>276</v>
      </c>
      <c r="B279" s="196">
        <f t="shared" si="6"/>
        <v>95</v>
      </c>
      <c r="C279" s="197">
        <v>33.72</v>
      </c>
      <c r="D279" s="371"/>
    </row>
    <row r="280" spans="1:4">
      <c r="A280" s="367">
        <v>277</v>
      </c>
      <c r="B280" s="196">
        <f t="shared" si="6"/>
        <v>94</v>
      </c>
      <c r="C280" s="197">
        <v>33.479999999999997</v>
      </c>
      <c r="D280" s="371"/>
    </row>
    <row r="281" spans="1:4">
      <c r="A281" s="367">
        <v>278</v>
      </c>
      <c r="B281" s="196">
        <f t="shared" si="6"/>
        <v>93</v>
      </c>
      <c r="C281" s="197">
        <v>33.54</v>
      </c>
      <c r="D281" s="371"/>
    </row>
    <row r="282" spans="1:4">
      <c r="A282" s="367">
        <v>279</v>
      </c>
      <c r="B282" s="196">
        <f t="shared" si="6"/>
        <v>92</v>
      </c>
      <c r="C282" s="197">
        <v>33.340000000000003</v>
      </c>
      <c r="D282" s="371"/>
    </row>
    <row r="283" spans="1:4">
      <c r="A283" s="367">
        <v>280</v>
      </c>
      <c r="B283" s="196">
        <f t="shared" si="6"/>
        <v>91</v>
      </c>
      <c r="C283" s="197">
        <v>33.85</v>
      </c>
      <c r="D283" s="371"/>
    </row>
    <row r="284" spans="1:4">
      <c r="A284" s="367">
        <v>281</v>
      </c>
      <c r="B284" s="196">
        <f t="shared" si="6"/>
        <v>90</v>
      </c>
      <c r="C284" s="197">
        <v>33.69</v>
      </c>
      <c r="D284" s="371"/>
    </row>
    <row r="285" spans="1:4">
      <c r="A285" s="367">
        <v>282</v>
      </c>
      <c r="B285" s="196">
        <f t="shared" si="6"/>
        <v>89</v>
      </c>
      <c r="C285" s="197">
        <v>33.549999999999997</v>
      </c>
      <c r="D285" s="371"/>
    </row>
    <row r="286" spans="1:4">
      <c r="A286" s="367">
        <v>283</v>
      </c>
      <c r="B286" s="196">
        <f t="shared" si="6"/>
        <v>88</v>
      </c>
      <c r="C286" s="197">
        <v>33.299999999999997</v>
      </c>
      <c r="D286" s="371"/>
    </row>
    <row r="287" spans="1:4">
      <c r="A287" s="367">
        <v>284</v>
      </c>
      <c r="B287" s="196">
        <f t="shared" si="6"/>
        <v>87</v>
      </c>
      <c r="C287" s="197">
        <v>33.94</v>
      </c>
      <c r="D287" s="371"/>
    </row>
    <row r="288" spans="1:4">
      <c r="A288" s="367">
        <v>285</v>
      </c>
      <c r="B288" s="196">
        <f t="shared" si="6"/>
        <v>86</v>
      </c>
      <c r="C288" s="197">
        <v>33.549999999999997</v>
      </c>
      <c r="D288" s="371"/>
    </row>
    <row r="289" spans="1:4">
      <c r="A289" s="367">
        <v>286</v>
      </c>
      <c r="B289" s="196">
        <f t="shared" si="6"/>
        <v>85</v>
      </c>
      <c r="C289" s="197">
        <v>33.630000000000003</v>
      </c>
      <c r="D289" s="371"/>
    </row>
    <row r="290" spans="1:4">
      <c r="A290" s="367">
        <v>287</v>
      </c>
      <c r="B290" s="196">
        <f t="shared" si="6"/>
        <v>84</v>
      </c>
      <c r="C290" s="197">
        <v>33.78</v>
      </c>
      <c r="D290" s="371"/>
    </row>
    <row r="291" spans="1:4">
      <c r="A291" s="367">
        <v>288</v>
      </c>
      <c r="B291" s="196">
        <f t="shared" si="6"/>
        <v>83</v>
      </c>
      <c r="C291" s="197">
        <v>33.81</v>
      </c>
      <c r="D291" s="371"/>
    </row>
    <row r="292" spans="1:4">
      <c r="A292" s="367">
        <v>289</v>
      </c>
      <c r="B292" s="196">
        <f t="shared" si="6"/>
        <v>82</v>
      </c>
      <c r="C292" s="197">
        <v>33.909999999999997</v>
      </c>
      <c r="D292" s="371"/>
    </row>
    <row r="293" spans="1:4">
      <c r="A293" s="367">
        <v>290</v>
      </c>
      <c r="B293" s="196">
        <f t="shared" si="6"/>
        <v>81</v>
      </c>
      <c r="C293" s="197">
        <v>33.700000000000003</v>
      </c>
      <c r="D293" s="371"/>
    </row>
    <row r="294" spans="1:4">
      <c r="A294" s="367">
        <v>291</v>
      </c>
      <c r="B294" s="196">
        <f t="shared" si="6"/>
        <v>80</v>
      </c>
      <c r="C294" s="197">
        <v>33.4</v>
      </c>
      <c r="D294" s="371"/>
    </row>
    <row r="295" spans="1:4">
      <c r="A295" s="367">
        <v>292</v>
      </c>
      <c r="B295" s="196">
        <f t="shared" si="6"/>
        <v>79</v>
      </c>
      <c r="C295" s="197">
        <v>33.47</v>
      </c>
      <c r="D295" s="371"/>
    </row>
    <row r="296" spans="1:4">
      <c r="A296" s="367">
        <v>293</v>
      </c>
      <c r="B296" s="196">
        <f t="shared" si="6"/>
        <v>78</v>
      </c>
      <c r="C296" s="197">
        <v>33.590000000000003</v>
      </c>
      <c r="D296" s="371"/>
    </row>
    <row r="297" spans="1:4">
      <c r="A297" s="367">
        <v>294</v>
      </c>
      <c r="B297" s="196">
        <f t="shared" si="6"/>
        <v>77</v>
      </c>
      <c r="C297" s="197">
        <v>31.92</v>
      </c>
      <c r="D297" s="371"/>
    </row>
    <row r="298" spans="1:4">
      <c r="A298" s="367">
        <v>295</v>
      </c>
      <c r="B298" s="196">
        <f t="shared" si="6"/>
        <v>76</v>
      </c>
      <c r="C298" s="197">
        <v>33</v>
      </c>
      <c r="D298" s="371"/>
    </row>
    <row r="299" spans="1:4">
      <c r="A299" s="367">
        <v>296</v>
      </c>
      <c r="B299" s="196">
        <f t="shared" si="6"/>
        <v>75</v>
      </c>
      <c r="C299" s="197">
        <v>33.01</v>
      </c>
      <c r="D299" s="371"/>
    </row>
    <row r="300" spans="1:4">
      <c r="A300" s="367">
        <v>297</v>
      </c>
      <c r="B300" s="196">
        <f t="shared" si="6"/>
        <v>74</v>
      </c>
      <c r="C300" s="197">
        <v>33.47</v>
      </c>
      <c r="D300" s="371"/>
    </row>
    <row r="301" spans="1:4">
      <c r="A301" s="367">
        <v>298</v>
      </c>
      <c r="B301" s="196">
        <f t="shared" si="6"/>
        <v>73</v>
      </c>
      <c r="C301" s="197">
        <v>32.92</v>
      </c>
      <c r="D301" s="371"/>
    </row>
    <row r="302" spans="1:4">
      <c r="A302" s="367">
        <v>299</v>
      </c>
      <c r="B302" s="196">
        <f t="shared" si="6"/>
        <v>72</v>
      </c>
      <c r="C302" s="197">
        <v>33.659999999999997</v>
      </c>
      <c r="D302" s="371"/>
    </row>
    <row r="303" spans="1:4">
      <c r="A303" s="367">
        <v>300</v>
      </c>
      <c r="B303" s="196">
        <f t="shared" si="6"/>
        <v>71</v>
      </c>
      <c r="C303" s="197">
        <v>33.22</v>
      </c>
      <c r="D303" s="371"/>
    </row>
    <row r="304" spans="1:4">
      <c r="A304" s="367">
        <v>301</v>
      </c>
      <c r="B304" s="196">
        <f t="shared" si="6"/>
        <v>70</v>
      </c>
      <c r="C304" s="197">
        <v>33.72</v>
      </c>
      <c r="D304" s="371"/>
    </row>
    <row r="305" spans="1:4">
      <c r="A305" s="367">
        <v>302</v>
      </c>
      <c r="B305" s="196">
        <f t="shared" si="6"/>
        <v>69</v>
      </c>
      <c r="C305" s="197">
        <v>33.65</v>
      </c>
      <c r="D305" s="371"/>
    </row>
    <row r="306" spans="1:4">
      <c r="A306" s="367">
        <v>303</v>
      </c>
      <c r="B306" s="196">
        <f t="shared" si="6"/>
        <v>68</v>
      </c>
      <c r="C306" s="197">
        <v>33.270000000000003</v>
      </c>
      <c r="D306" s="371"/>
    </row>
    <row r="307" spans="1:4">
      <c r="A307" s="367">
        <v>304</v>
      </c>
      <c r="B307" s="196">
        <f t="shared" si="6"/>
        <v>67</v>
      </c>
      <c r="C307" s="197">
        <v>33.19</v>
      </c>
      <c r="D307" s="371"/>
    </row>
    <row r="308" spans="1:4">
      <c r="A308" s="367">
        <v>305</v>
      </c>
      <c r="B308" s="196">
        <f t="shared" si="6"/>
        <v>66</v>
      </c>
      <c r="C308" s="197">
        <v>33.770000000000003</v>
      </c>
      <c r="D308" s="371"/>
    </row>
    <row r="309" spans="1:4">
      <c r="A309" s="367">
        <v>306</v>
      </c>
      <c r="B309" s="196">
        <f t="shared" si="6"/>
        <v>65</v>
      </c>
      <c r="C309" s="197">
        <v>33.15</v>
      </c>
      <c r="D309" s="371"/>
    </row>
    <row r="310" spans="1:4">
      <c r="A310" s="367">
        <v>307</v>
      </c>
      <c r="B310" s="196">
        <f t="shared" si="6"/>
        <v>64</v>
      </c>
      <c r="C310" s="197">
        <v>33.700000000000003</v>
      </c>
      <c r="D310" s="371"/>
    </row>
    <row r="311" spans="1:4">
      <c r="A311" s="367">
        <v>308</v>
      </c>
      <c r="B311" s="196">
        <f t="shared" si="6"/>
        <v>63</v>
      </c>
      <c r="C311" s="197">
        <v>33.479999999999997</v>
      </c>
      <c r="D311" s="371"/>
    </row>
    <row r="312" spans="1:4">
      <c r="A312" s="367">
        <v>309</v>
      </c>
      <c r="B312" s="196">
        <f t="shared" si="6"/>
        <v>62</v>
      </c>
      <c r="C312" s="197">
        <v>33.64</v>
      </c>
      <c r="D312" s="371"/>
    </row>
    <row r="313" spans="1:4">
      <c r="A313" s="367">
        <v>310</v>
      </c>
      <c r="B313" s="196">
        <f t="shared" si="6"/>
        <v>61</v>
      </c>
      <c r="C313" s="197">
        <v>33.81</v>
      </c>
      <c r="D313" s="371"/>
    </row>
    <row r="314" spans="1:4">
      <c r="A314" s="367">
        <v>311</v>
      </c>
      <c r="B314" s="196">
        <f t="shared" si="6"/>
        <v>60</v>
      </c>
      <c r="C314" s="197">
        <v>33.869999999999997</v>
      </c>
      <c r="D314" s="371"/>
    </row>
    <row r="315" spans="1:4">
      <c r="A315" s="367">
        <v>312</v>
      </c>
      <c r="B315" s="196">
        <f t="shared" si="6"/>
        <v>59</v>
      </c>
      <c r="C315" s="197">
        <v>33.67</v>
      </c>
      <c r="D315" s="371"/>
    </row>
    <row r="316" spans="1:4">
      <c r="A316" s="367">
        <v>313</v>
      </c>
      <c r="B316" s="196">
        <f t="shared" si="6"/>
        <v>58</v>
      </c>
      <c r="C316" s="197">
        <v>33.770000000000003</v>
      </c>
      <c r="D316" s="371"/>
    </row>
    <row r="317" spans="1:4">
      <c r="A317" s="367">
        <v>314</v>
      </c>
      <c r="B317" s="196">
        <f t="shared" si="6"/>
        <v>57</v>
      </c>
      <c r="C317" s="197">
        <v>33.65</v>
      </c>
      <c r="D317" s="371"/>
    </row>
    <row r="318" spans="1:4">
      <c r="A318" s="367">
        <v>315</v>
      </c>
      <c r="B318" s="196">
        <f t="shared" si="6"/>
        <v>56</v>
      </c>
      <c r="C318" s="197">
        <v>33.729999999999997</v>
      </c>
      <c r="D318" s="371"/>
    </row>
    <row r="319" spans="1:4">
      <c r="A319" s="367">
        <v>316</v>
      </c>
      <c r="B319" s="196">
        <f t="shared" si="6"/>
        <v>55</v>
      </c>
      <c r="C319" s="197">
        <v>33.83</v>
      </c>
      <c r="D319" s="371"/>
    </row>
    <row r="320" spans="1:4">
      <c r="A320" s="367">
        <v>317</v>
      </c>
      <c r="B320" s="196">
        <f t="shared" si="6"/>
        <v>54</v>
      </c>
      <c r="C320" s="197">
        <v>31.63</v>
      </c>
      <c r="D320" s="371"/>
    </row>
    <row r="321" spans="1:4">
      <c r="A321" s="367">
        <v>318</v>
      </c>
      <c r="B321" s="196">
        <f t="shared" si="6"/>
        <v>53</v>
      </c>
      <c r="C321" s="197">
        <v>31.75</v>
      </c>
      <c r="D321" s="371"/>
    </row>
    <row r="322" spans="1:4">
      <c r="A322" s="367">
        <v>319</v>
      </c>
      <c r="B322" s="196">
        <f t="shared" si="6"/>
        <v>52</v>
      </c>
      <c r="C322" s="197">
        <v>33.47</v>
      </c>
      <c r="D322" s="371"/>
    </row>
    <row r="323" spans="1:4">
      <c r="A323" s="367">
        <v>320</v>
      </c>
      <c r="B323" s="196">
        <f t="shared" si="6"/>
        <v>51</v>
      </c>
      <c r="C323" s="197">
        <v>33.479999999999997</v>
      </c>
      <c r="D323" s="371"/>
    </row>
    <row r="324" spans="1:4">
      <c r="A324" s="367">
        <v>321</v>
      </c>
      <c r="B324" s="196">
        <f t="shared" si="6"/>
        <v>50</v>
      </c>
      <c r="C324" s="197">
        <v>33.5</v>
      </c>
      <c r="D324" s="371"/>
    </row>
    <row r="325" spans="1:4">
      <c r="A325" s="367">
        <v>322</v>
      </c>
      <c r="B325" s="196">
        <f t="shared" ref="B325:B373" si="7">B324-1</f>
        <v>49</v>
      </c>
      <c r="C325" s="197">
        <v>33.33</v>
      </c>
      <c r="D325" s="371"/>
    </row>
    <row r="326" spans="1:4">
      <c r="A326" s="367">
        <v>323</v>
      </c>
      <c r="B326" s="196">
        <f t="shared" si="7"/>
        <v>48</v>
      </c>
      <c r="C326" s="197">
        <v>33.770000000000003</v>
      </c>
      <c r="D326" s="371"/>
    </row>
    <row r="327" spans="1:4">
      <c r="A327" s="367">
        <v>324</v>
      </c>
      <c r="B327" s="196">
        <f t="shared" si="7"/>
        <v>47</v>
      </c>
      <c r="C327" s="197">
        <v>33.450000000000003</v>
      </c>
      <c r="D327" s="371"/>
    </row>
    <row r="328" spans="1:4">
      <c r="A328" s="367">
        <v>325</v>
      </c>
      <c r="B328" s="196">
        <f t="shared" si="7"/>
        <v>46</v>
      </c>
      <c r="C328" s="197">
        <v>33.26</v>
      </c>
      <c r="D328" s="371"/>
    </row>
    <row r="329" spans="1:4">
      <c r="A329" s="367">
        <v>326</v>
      </c>
      <c r="B329" s="196">
        <f t="shared" si="7"/>
        <v>45</v>
      </c>
      <c r="C329" s="197">
        <v>33.29</v>
      </c>
      <c r="D329" s="371"/>
    </row>
    <row r="330" spans="1:4">
      <c r="A330" s="367">
        <v>327</v>
      </c>
      <c r="B330" s="196">
        <f t="shared" si="7"/>
        <v>44</v>
      </c>
      <c r="C330" s="197">
        <v>33.51</v>
      </c>
      <c r="D330" s="371"/>
    </row>
    <row r="331" spans="1:4">
      <c r="A331" s="367">
        <v>328</v>
      </c>
      <c r="B331" s="196">
        <f t="shared" si="7"/>
        <v>43</v>
      </c>
      <c r="C331" s="197">
        <v>33.26</v>
      </c>
      <c r="D331" s="371"/>
    </row>
    <row r="332" spans="1:4">
      <c r="A332" s="367">
        <v>329</v>
      </c>
      <c r="B332" s="196">
        <f t="shared" si="7"/>
        <v>42</v>
      </c>
      <c r="C332" s="197">
        <v>33.67</v>
      </c>
      <c r="D332" s="371"/>
    </row>
    <row r="333" spans="1:4">
      <c r="A333" s="367">
        <v>330</v>
      </c>
      <c r="B333" s="196">
        <f t="shared" si="7"/>
        <v>41</v>
      </c>
      <c r="C333" s="197">
        <v>33.75</v>
      </c>
      <c r="D333" s="371"/>
    </row>
    <row r="334" spans="1:4">
      <c r="A334" s="367">
        <v>331</v>
      </c>
      <c r="B334" s="196">
        <f t="shared" si="7"/>
        <v>40</v>
      </c>
      <c r="C334" s="197">
        <v>31.27</v>
      </c>
      <c r="D334" s="371"/>
    </row>
    <row r="335" spans="1:4">
      <c r="A335" s="367">
        <v>332</v>
      </c>
      <c r="B335" s="196">
        <f t="shared" si="7"/>
        <v>39</v>
      </c>
      <c r="C335" s="197">
        <v>33.71</v>
      </c>
      <c r="D335" s="371"/>
    </row>
    <row r="336" spans="1:4">
      <c r="A336" s="367">
        <v>333</v>
      </c>
      <c r="B336" s="196">
        <f t="shared" si="7"/>
        <v>38</v>
      </c>
      <c r="C336" s="197">
        <v>33.51</v>
      </c>
      <c r="D336" s="371"/>
    </row>
    <row r="337" spans="1:4">
      <c r="A337" s="367">
        <v>334</v>
      </c>
      <c r="B337" s="196">
        <f t="shared" si="7"/>
        <v>37</v>
      </c>
      <c r="C337" s="197">
        <v>31.8</v>
      </c>
      <c r="D337" s="371"/>
    </row>
    <row r="338" spans="1:4">
      <c r="A338" s="367">
        <v>335</v>
      </c>
      <c r="B338" s="196">
        <f t="shared" si="7"/>
        <v>36</v>
      </c>
      <c r="C338" s="197">
        <v>33.119999999999997</v>
      </c>
      <c r="D338" s="371"/>
    </row>
    <row r="339" spans="1:4">
      <c r="A339" s="367">
        <v>336</v>
      </c>
      <c r="B339" s="196">
        <f t="shared" si="7"/>
        <v>35</v>
      </c>
      <c r="C339" s="197">
        <v>33.01</v>
      </c>
      <c r="D339" s="371"/>
    </row>
    <row r="340" spans="1:4">
      <c r="A340" s="367">
        <v>337</v>
      </c>
      <c r="B340" s="196">
        <f t="shared" si="7"/>
        <v>34</v>
      </c>
      <c r="C340" s="197">
        <v>33.33</v>
      </c>
      <c r="D340" s="371"/>
    </row>
    <row r="341" spans="1:4">
      <c r="A341" s="367">
        <v>338</v>
      </c>
      <c r="B341" s="196">
        <f t="shared" si="7"/>
        <v>33</v>
      </c>
      <c r="C341" s="197">
        <v>33.42</v>
      </c>
      <c r="D341" s="371"/>
    </row>
    <row r="342" spans="1:4">
      <c r="A342" s="367">
        <v>339</v>
      </c>
      <c r="B342" s="196">
        <f t="shared" si="7"/>
        <v>32</v>
      </c>
      <c r="C342" s="197">
        <v>33.909999999999997</v>
      </c>
      <c r="D342" s="371"/>
    </row>
    <row r="343" spans="1:4">
      <c r="A343" s="367">
        <v>340</v>
      </c>
      <c r="B343" s="196">
        <f t="shared" si="7"/>
        <v>31</v>
      </c>
      <c r="C343" s="197">
        <v>32.72</v>
      </c>
      <c r="D343" s="371"/>
    </row>
    <row r="344" spans="1:4">
      <c r="A344" s="367">
        <v>341</v>
      </c>
      <c r="B344" s="196">
        <f t="shared" si="7"/>
        <v>30</v>
      </c>
      <c r="C344" s="197">
        <v>33.92</v>
      </c>
      <c r="D344" s="371"/>
    </row>
    <row r="345" spans="1:4">
      <c r="A345" s="367">
        <v>342</v>
      </c>
      <c r="B345" s="196">
        <f t="shared" si="7"/>
        <v>29</v>
      </c>
      <c r="C345" s="197">
        <v>33.69</v>
      </c>
      <c r="D345" s="371"/>
    </row>
    <row r="346" spans="1:4">
      <c r="A346" s="367">
        <v>343</v>
      </c>
      <c r="B346" s="196">
        <f t="shared" si="7"/>
        <v>28</v>
      </c>
      <c r="C346" s="197">
        <v>33.74</v>
      </c>
      <c r="D346" s="371"/>
    </row>
    <row r="347" spans="1:4">
      <c r="A347" s="367">
        <v>344</v>
      </c>
      <c r="B347" s="196">
        <f t="shared" si="7"/>
        <v>27</v>
      </c>
      <c r="C347" s="197">
        <v>32.99</v>
      </c>
      <c r="D347" s="371"/>
    </row>
    <row r="348" spans="1:4">
      <c r="A348" s="367">
        <v>345</v>
      </c>
      <c r="B348" s="196">
        <f t="shared" si="7"/>
        <v>26</v>
      </c>
      <c r="C348" s="197">
        <v>33.42</v>
      </c>
      <c r="D348" s="371"/>
    </row>
    <row r="349" spans="1:4">
      <c r="A349" s="367">
        <v>346</v>
      </c>
      <c r="B349" s="196">
        <f t="shared" si="7"/>
        <v>25</v>
      </c>
      <c r="C349" s="197">
        <v>32.89</v>
      </c>
      <c r="D349" s="371"/>
    </row>
    <row r="350" spans="1:4">
      <c r="A350" s="367">
        <v>347</v>
      </c>
      <c r="B350" s="196">
        <f t="shared" si="7"/>
        <v>24</v>
      </c>
      <c r="C350" s="197">
        <v>33.450000000000003</v>
      </c>
      <c r="D350" s="371"/>
    </row>
    <row r="351" spans="1:4">
      <c r="A351" s="367">
        <v>348</v>
      </c>
      <c r="B351" s="196">
        <f t="shared" si="7"/>
        <v>23</v>
      </c>
      <c r="C351" s="197">
        <v>33.43</v>
      </c>
      <c r="D351" s="371"/>
    </row>
    <row r="352" spans="1:4">
      <c r="A352" s="367">
        <v>349</v>
      </c>
      <c r="B352" s="196">
        <f t="shared" si="7"/>
        <v>22</v>
      </c>
      <c r="C352" s="197">
        <v>33.24</v>
      </c>
      <c r="D352" s="371"/>
    </row>
    <row r="353" spans="1:4">
      <c r="A353" s="367">
        <v>350</v>
      </c>
      <c r="B353" s="196">
        <f t="shared" si="7"/>
        <v>21</v>
      </c>
      <c r="C353" s="197">
        <v>33.49</v>
      </c>
      <c r="D353" s="371"/>
    </row>
    <row r="354" spans="1:4">
      <c r="A354" s="367">
        <v>351</v>
      </c>
      <c r="B354" s="196">
        <f t="shared" si="7"/>
        <v>20</v>
      </c>
      <c r="C354" s="197">
        <v>33.19</v>
      </c>
      <c r="D354" s="371"/>
    </row>
    <row r="355" spans="1:4">
      <c r="A355" s="367">
        <v>352</v>
      </c>
      <c r="B355" s="196">
        <f t="shared" si="7"/>
        <v>19</v>
      </c>
      <c r="C355" s="197">
        <v>33.6</v>
      </c>
      <c r="D355" s="371"/>
    </row>
    <row r="356" spans="1:4">
      <c r="A356" s="367">
        <v>353</v>
      </c>
      <c r="B356" s="196">
        <f t="shared" si="7"/>
        <v>18</v>
      </c>
      <c r="C356" s="197">
        <v>33.880000000000003</v>
      </c>
      <c r="D356" s="371"/>
    </row>
    <row r="357" spans="1:4">
      <c r="A357" s="367">
        <v>354</v>
      </c>
      <c r="B357" s="196">
        <f t="shared" si="7"/>
        <v>17</v>
      </c>
      <c r="C357" s="197">
        <v>33.29</v>
      </c>
      <c r="D357" s="371"/>
    </row>
    <row r="358" spans="1:4">
      <c r="A358" s="367">
        <v>355</v>
      </c>
      <c r="B358" s="196">
        <f t="shared" si="7"/>
        <v>16</v>
      </c>
      <c r="C358" s="364">
        <v>32.94</v>
      </c>
      <c r="D358" s="371"/>
    </row>
    <row r="359" spans="1:4">
      <c r="A359" s="367">
        <v>356</v>
      </c>
      <c r="B359" s="196">
        <f t="shared" si="7"/>
        <v>15</v>
      </c>
      <c r="C359" s="364">
        <v>33.14</v>
      </c>
      <c r="D359" s="371"/>
    </row>
    <row r="360" spans="1:4">
      <c r="A360" s="367">
        <v>357</v>
      </c>
      <c r="B360" s="196">
        <f t="shared" si="7"/>
        <v>14</v>
      </c>
      <c r="C360" s="364">
        <v>31.72</v>
      </c>
      <c r="D360" s="371"/>
    </row>
    <row r="361" spans="1:4">
      <c r="A361" s="367">
        <v>358</v>
      </c>
      <c r="B361" s="196">
        <f t="shared" si="7"/>
        <v>13</v>
      </c>
      <c r="C361" s="364">
        <v>32.97</v>
      </c>
      <c r="D361" s="371"/>
    </row>
    <row r="362" spans="1:4">
      <c r="A362" s="367">
        <v>359</v>
      </c>
      <c r="B362" s="196">
        <f t="shared" si="7"/>
        <v>12</v>
      </c>
      <c r="C362" s="364">
        <v>33</v>
      </c>
      <c r="D362" s="371"/>
    </row>
    <row r="363" spans="1:4">
      <c r="A363" s="367">
        <v>360</v>
      </c>
      <c r="B363" s="196">
        <f t="shared" si="7"/>
        <v>11</v>
      </c>
      <c r="C363" s="364">
        <v>31.69</v>
      </c>
      <c r="D363" s="371"/>
    </row>
    <row r="364" spans="1:4">
      <c r="A364" s="367">
        <v>361</v>
      </c>
      <c r="B364" s="196">
        <f t="shared" si="7"/>
        <v>10</v>
      </c>
      <c r="C364" s="364">
        <v>32.92</v>
      </c>
      <c r="D364" s="371"/>
    </row>
    <row r="365" spans="1:4">
      <c r="A365" s="367">
        <v>362</v>
      </c>
      <c r="B365" s="196">
        <f t="shared" si="7"/>
        <v>9</v>
      </c>
      <c r="C365" s="364">
        <v>33.28</v>
      </c>
      <c r="D365" s="371"/>
    </row>
    <row r="366" spans="1:4">
      <c r="A366" s="367">
        <v>363</v>
      </c>
      <c r="B366" s="196">
        <f t="shared" si="7"/>
        <v>8</v>
      </c>
      <c r="C366" s="364">
        <v>32.21</v>
      </c>
      <c r="D366" s="371"/>
    </row>
    <row r="367" spans="1:4">
      <c r="A367" s="367">
        <v>364</v>
      </c>
      <c r="B367" s="196">
        <f t="shared" si="7"/>
        <v>7</v>
      </c>
      <c r="C367" s="364">
        <v>32.86</v>
      </c>
      <c r="D367" s="371"/>
    </row>
    <row r="368" spans="1:4">
      <c r="A368" s="367">
        <v>365</v>
      </c>
      <c r="B368" s="196">
        <f t="shared" si="7"/>
        <v>6</v>
      </c>
      <c r="C368" s="364">
        <v>33.18</v>
      </c>
      <c r="D368" s="371"/>
    </row>
    <row r="369" spans="1:4">
      <c r="A369" s="367">
        <v>366</v>
      </c>
      <c r="B369" s="196">
        <f t="shared" si="7"/>
        <v>5</v>
      </c>
      <c r="C369" s="364">
        <v>33.270000000000003</v>
      </c>
      <c r="D369" s="371"/>
    </row>
    <row r="370" spans="1:4">
      <c r="A370" s="367">
        <v>367</v>
      </c>
      <c r="B370" s="196">
        <f t="shared" si="7"/>
        <v>4</v>
      </c>
      <c r="C370" s="364">
        <v>33.130000000000003</v>
      </c>
      <c r="D370" s="371"/>
    </row>
    <row r="371" spans="1:4">
      <c r="A371" s="367">
        <v>368</v>
      </c>
      <c r="B371" s="196">
        <f t="shared" si="7"/>
        <v>3</v>
      </c>
      <c r="C371" s="364">
        <v>33.340000000000003</v>
      </c>
      <c r="D371" s="371"/>
    </row>
    <row r="372" spans="1:4">
      <c r="A372" s="367">
        <v>369</v>
      </c>
      <c r="B372" s="196">
        <f t="shared" si="7"/>
        <v>2</v>
      </c>
      <c r="C372" s="364">
        <v>33</v>
      </c>
      <c r="D372" s="371"/>
    </row>
    <row r="373" spans="1:4" ht="13.5" thickBot="1">
      <c r="A373" s="372">
        <v>370</v>
      </c>
      <c r="B373" s="373">
        <f t="shared" si="7"/>
        <v>1</v>
      </c>
      <c r="C373" s="374">
        <v>33.159999999999997</v>
      </c>
      <c r="D373" s="315"/>
    </row>
    <row r="374" spans="1:4" ht="13.5" thickBot="1">
      <c r="C374" s="375">
        <f>SUM(C4:C373)</f>
        <v>12331.09</v>
      </c>
    </row>
  </sheetData>
  <mergeCells count="27">
    <mergeCell ref="J28:K28"/>
    <mergeCell ref="J23:K23"/>
    <mergeCell ref="J24:K24"/>
    <mergeCell ref="J25:K25"/>
    <mergeCell ref="J26:K26"/>
    <mergeCell ref="J27:K27"/>
    <mergeCell ref="J18:K18"/>
    <mergeCell ref="J19:K19"/>
    <mergeCell ref="J20:K20"/>
    <mergeCell ref="J21:K21"/>
    <mergeCell ref="J22:K22"/>
    <mergeCell ref="H18:H19"/>
    <mergeCell ref="K1:L1"/>
    <mergeCell ref="A1:D1"/>
    <mergeCell ref="F1:G1"/>
    <mergeCell ref="F18:G19"/>
    <mergeCell ref="F13:G14"/>
    <mergeCell ref="H13:H14"/>
    <mergeCell ref="I13:I14"/>
    <mergeCell ref="J10:K10"/>
    <mergeCell ref="J11:K11"/>
    <mergeCell ref="J12:K12"/>
    <mergeCell ref="J13:K13"/>
    <mergeCell ref="J14:K14"/>
    <mergeCell ref="J15:K15"/>
    <mergeCell ref="J16:K16"/>
    <mergeCell ref="J17:K17"/>
  </mergeCells>
  <phoneticPr fontId="12" type="noConversion"/>
  <pageMargins left="0.7" right="0.7" top="0.75" bottom="0.75" header="0.3" footer="0.3"/>
  <pageSetup orientation="portrait" r:id="rId1"/>
  <ignoredErrors>
    <ignoredError sqref="C374" formulaRange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B050"/>
  </sheetPr>
  <dimension ref="B1:AJ395"/>
  <sheetViews>
    <sheetView showGridLines="0" tabSelected="1" topLeftCell="A28" zoomScaleNormal="100" zoomScaleSheetLayoutView="100" workbookViewId="0">
      <selection activeCell="AF10" sqref="AF10"/>
    </sheetView>
  </sheetViews>
  <sheetFormatPr defaultColWidth="9.140625" defaultRowHeight="11.25"/>
  <cols>
    <col min="1" max="1" width="2.140625" style="19" customWidth="1"/>
    <col min="2" max="2" width="1.42578125" style="19" customWidth="1"/>
    <col min="3" max="3" width="8.85546875" style="19" customWidth="1"/>
    <col min="4" max="4" width="10.85546875" style="20" customWidth="1"/>
    <col min="5" max="5" width="1.85546875" style="19" customWidth="1"/>
    <col min="6" max="7" width="2.140625" style="19" customWidth="1"/>
    <col min="8" max="9" width="0.5703125" style="19" customWidth="1"/>
    <col min="10" max="10" width="7.140625" style="20" customWidth="1"/>
    <col min="11" max="12" width="0.5703125" style="19" customWidth="1"/>
    <col min="13" max="14" width="2.140625" style="19" customWidth="1"/>
    <col min="15" max="15" width="1.85546875" style="21" customWidth="1"/>
    <col min="16" max="16" width="5.42578125" style="19" customWidth="1"/>
    <col min="17" max="17" width="6.42578125" style="20" customWidth="1"/>
    <col min="18" max="18" width="5.42578125" style="19" customWidth="1"/>
    <col min="19" max="19" width="1.85546875" style="19" customWidth="1"/>
    <col min="20" max="21" width="2.140625" style="19" customWidth="1"/>
    <col min="22" max="23" width="0.5703125" style="19" customWidth="1"/>
    <col min="24" max="24" width="7.140625" style="20" customWidth="1"/>
    <col min="25" max="26" width="0.5703125" style="19" customWidth="1"/>
    <col min="27" max="28" width="2.140625" style="19" customWidth="1"/>
    <col min="29" max="29" width="1.85546875" style="21" customWidth="1"/>
    <col min="30" max="30" width="9.140625" style="19"/>
    <col min="31" max="31" width="8.42578125" style="20" customWidth="1"/>
    <col min="32" max="32" width="9.85546875" style="19" customWidth="1"/>
    <col min="33" max="34" width="10.140625" style="19" customWidth="1"/>
    <col min="35" max="35" width="8.85546875" style="19" customWidth="1"/>
    <col min="36" max="36" width="1.42578125" style="19" customWidth="1"/>
    <col min="37" max="37" width="2.28515625" style="19" customWidth="1"/>
    <col min="38" max="16384" width="9.140625" style="19"/>
  </cols>
  <sheetData>
    <row r="1" spans="2:36" ht="12" thickBot="1"/>
    <row r="2" spans="2:36" ht="7.5" customHeight="1">
      <c r="B2" s="22"/>
      <c r="C2" s="23"/>
      <c r="D2" s="24"/>
      <c r="E2" s="23"/>
      <c r="F2" s="23"/>
      <c r="G2" s="23"/>
      <c r="H2" s="23"/>
      <c r="I2" s="23"/>
      <c r="J2" s="24"/>
      <c r="K2" s="23"/>
      <c r="L2" s="23"/>
      <c r="M2" s="23"/>
      <c r="N2" s="23"/>
      <c r="O2" s="23"/>
      <c r="P2" s="23"/>
      <c r="Q2" s="24"/>
      <c r="R2" s="23"/>
      <c r="S2" s="23"/>
      <c r="T2" s="23"/>
      <c r="U2" s="23"/>
      <c r="V2" s="23"/>
      <c r="W2" s="23"/>
      <c r="X2" s="24"/>
      <c r="Y2" s="23"/>
      <c r="Z2" s="23"/>
      <c r="AA2" s="23"/>
      <c r="AB2" s="23"/>
      <c r="AC2" s="23"/>
      <c r="AD2" s="23"/>
      <c r="AE2" s="24"/>
      <c r="AF2" s="23"/>
      <c r="AG2" s="23"/>
      <c r="AH2" s="23"/>
      <c r="AI2" s="23"/>
      <c r="AJ2" s="25"/>
    </row>
    <row r="3" spans="2:36" ht="21.75" customHeight="1">
      <c r="B3" s="26"/>
      <c r="C3" s="19" t="s">
        <v>22</v>
      </c>
      <c r="O3" s="19"/>
      <c r="X3" s="27" t="s">
        <v>23</v>
      </c>
      <c r="AC3" s="19"/>
      <c r="AJ3" s="28"/>
    </row>
    <row r="4" spans="2:36" ht="6.75" customHeight="1" thickBot="1">
      <c r="B4" s="26"/>
      <c r="O4" s="19"/>
      <c r="AC4" s="19"/>
      <c r="AJ4" s="28"/>
    </row>
    <row r="5" spans="2:36" ht="14.1" customHeight="1" thickBot="1">
      <c r="B5" s="26"/>
      <c r="AE5" s="642" t="s">
        <v>94</v>
      </c>
      <c r="AF5" s="643"/>
      <c r="AG5" s="644"/>
      <c r="AH5" s="645">
        <f>4.776/12</f>
        <v>0.39799999999999996</v>
      </c>
      <c r="AI5" s="646"/>
      <c r="AJ5" s="28"/>
    </row>
    <row r="6" spans="2:36" s="38" customFormat="1" ht="15.75" thickBot="1">
      <c r="B6" s="29"/>
      <c r="C6" s="30"/>
      <c r="D6" s="31"/>
      <c r="E6" s="32"/>
      <c r="F6" s="32"/>
      <c r="G6" s="32"/>
      <c r="H6" s="32"/>
      <c r="I6" s="33"/>
      <c r="J6" s="34" t="s">
        <v>24</v>
      </c>
      <c r="K6" s="32"/>
      <c r="L6" s="32"/>
      <c r="M6" s="32"/>
      <c r="N6" s="32"/>
      <c r="O6" s="32"/>
      <c r="P6" s="32"/>
      <c r="Q6" s="31"/>
      <c r="R6" s="32"/>
      <c r="S6" s="32"/>
      <c r="T6" s="32"/>
      <c r="U6" s="32"/>
      <c r="V6" s="32"/>
      <c r="W6" s="35"/>
      <c r="X6" s="36"/>
      <c r="Y6" s="32"/>
      <c r="Z6" s="32"/>
      <c r="AA6" s="32"/>
      <c r="AB6" s="32"/>
      <c r="AC6" s="32"/>
      <c r="AD6" s="32"/>
      <c r="AE6" s="208" t="s">
        <v>25</v>
      </c>
      <c r="AF6" s="209" t="s">
        <v>26</v>
      </c>
      <c r="AG6" s="210"/>
      <c r="AH6" s="210"/>
      <c r="AI6" s="211"/>
      <c r="AJ6" s="37"/>
    </row>
    <row r="7" spans="2:36" s="38" customFormat="1" ht="16.5" thickBot="1">
      <c r="B7" s="29"/>
      <c r="C7" s="39"/>
      <c r="D7" s="40"/>
      <c r="E7" s="39"/>
      <c r="F7" s="39"/>
      <c r="G7" s="39"/>
      <c r="H7" s="39"/>
      <c r="I7" s="39"/>
      <c r="J7" s="34" t="s">
        <v>27</v>
      </c>
      <c r="K7" s="39"/>
      <c r="L7" s="39"/>
      <c r="M7" s="39"/>
      <c r="N7" s="39"/>
      <c r="O7" s="39"/>
      <c r="P7" s="39"/>
      <c r="Q7" s="41" t="s">
        <v>11</v>
      </c>
      <c r="R7" s="39"/>
      <c r="S7" s="39"/>
      <c r="T7" s="39"/>
      <c r="U7" s="39"/>
      <c r="V7" s="39"/>
      <c r="W7" s="42"/>
      <c r="X7" s="43"/>
      <c r="Y7" s="39"/>
      <c r="Z7" s="39"/>
      <c r="AA7" s="39"/>
      <c r="AB7" s="39"/>
      <c r="AC7" s="39"/>
      <c r="AD7" s="39"/>
      <c r="AE7" s="334"/>
      <c r="AF7" s="335"/>
      <c r="AG7" s="336"/>
      <c r="AH7" s="336"/>
      <c r="AI7" s="337"/>
      <c r="AJ7" s="37"/>
    </row>
    <row r="8" spans="2:36" s="38" customFormat="1" ht="16.5" thickBot="1">
      <c r="B8" s="29"/>
      <c r="C8" s="32"/>
      <c r="D8" s="45"/>
      <c r="E8" s="46"/>
      <c r="F8" s="47"/>
      <c r="G8" s="47"/>
      <c r="H8" s="47"/>
      <c r="I8" s="48"/>
      <c r="J8" s="49"/>
      <c r="K8" s="47"/>
      <c r="L8" s="47"/>
      <c r="M8" s="47"/>
      <c r="N8" s="47"/>
      <c r="O8" s="50"/>
      <c r="P8" s="47"/>
      <c r="Q8" s="45"/>
      <c r="R8" s="47"/>
      <c r="S8" s="46"/>
      <c r="T8" s="47"/>
      <c r="U8" s="47"/>
      <c r="V8" s="47"/>
      <c r="W8" s="51"/>
      <c r="X8" s="52" t="s">
        <v>28</v>
      </c>
      <c r="Y8" s="47"/>
      <c r="Z8" s="47"/>
      <c r="AA8" s="47"/>
      <c r="AB8" s="47"/>
      <c r="AC8" s="50"/>
      <c r="AD8" s="47"/>
      <c r="AE8" s="332">
        <v>6.22</v>
      </c>
      <c r="AF8" s="330">
        <f t="shared" ref="AF8:AF36" si="0">AE8-$AH$5</f>
        <v>5.8220000000000001</v>
      </c>
      <c r="AG8" s="213" t="s">
        <v>10</v>
      </c>
      <c r="AH8" s="214">
        <f t="shared" ref="AH8:AH18" si="1">IF(AG8="IN",AF8,0)</f>
        <v>0</v>
      </c>
      <c r="AI8" s="329" t="s">
        <v>156</v>
      </c>
      <c r="AJ8" s="37"/>
    </row>
    <row r="9" spans="2:36" s="38" customFormat="1" ht="17.25" thickTop="1" thickBot="1">
      <c r="B9" s="29"/>
      <c r="C9" s="32"/>
      <c r="D9" s="31"/>
      <c r="E9" s="53"/>
      <c r="F9" s="54"/>
      <c r="G9" s="54"/>
      <c r="H9" s="54"/>
      <c r="I9" s="55"/>
      <c r="J9" s="49" t="s">
        <v>29</v>
      </c>
      <c r="K9" s="54"/>
      <c r="L9" s="54"/>
      <c r="M9" s="54"/>
      <c r="N9" s="54"/>
      <c r="O9" s="56"/>
      <c r="P9" s="32"/>
      <c r="Q9" s="31"/>
      <c r="R9" s="32"/>
      <c r="S9" s="53"/>
      <c r="T9" s="32"/>
      <c r="U9" s="32"/>
      <c r="V9" s="32"/>
      <c r="W9" s="35"/>
      <c r="X9" s="36" t="s">
        <v>19</v>
      </c>
      <c r="Y9" s="32"/>
      <c r="Z9" s="32"/>
      <c r="AA9" s="32"/>
      <c r="AB9" s="32"/>
      <c r="AC9" s="56"/>
      <c r="AD9" s="32"/>
      <c r="AE9" s="333">
        <v>6.22</v>
      </c>
      <c r="AF9" s="331">
        <f t="shared" si="0"/>
        <v>5.8220000000000001</v>
      </c>
      <c r="AG9" s="44" t="s">
        <v>10</v>
      </c>
      <c r="AH9" s="157">
        <f t="shared" si="1"/>
        <v>0</v>
      </c>
      <c r="AI9" s="328" t="s">
        <v>157</v>
      </c>
      <c r="AJ9" s="37"/>
    </row>
    <row r="10" spans="2:36" s="38" customFormat="1" ht="17.25" thickTop="1" thickBot="1">
      <c r="B10" s="29"/>
      <c r="C10" s="39"/>
      <c r="D10" s="40"/>
      <c r="E10" s="57"/>
      <c r="F10" s="58"/>
      <c r="G10" s="59"/>
      <c r="H10" s="59"/>
      <c r="I10" s="59"/>
      <c r="J10" s="60" t="s">
        <v>30</v>
      </c>
      <c r="K10" s="59"/>
      <c r="L10" s="59"/>
      <c r="M10" s="59"/>
      <c r="N10" s="61"/>
      <c r="O10" s="62"/>
      <c r="P10" s="39"/>
      <c r="Q10" s="41" t="s">
        <v>31</v>
      </c>
      <c r="R10" s="39"/>
      <c r="S10" s="63"/>
      <c r="T10" s="32"/>
      <c r="U10" s="32"/>
      <c r="V10" s="32"/>
      <c r="W10" s="35"/>
      <c r="X10" s="36" t="s">
        <v>27</v>
      </c>
      <c r="Y10" s="32"/>
      <c r="Z10" s="32"/>
      <c r="AA10" s="32"/>
      <c r="AB10" s="32"/>
      <c r="AC10" s="62"/>
      <c r="AD10" s="39"/>
      <c r="AE10" s="333">
        <v>3.23</v>
      </c>
      <c r="AF10" s="331">
        <f t="shared" si="0"/>
        <v>2.8319999999999999</v>
      </c>
      <c r="AG10" s="44" t="s">
        <v>8</v>
      </c>
      <c r="AH10" s="157">
        <f t="shared" si="1"/>
        <v>2.8319999999999999</v>
      </c>
      <c r="AI10" s="398" t="s">
        <v>158</v>
      </c>
      <c r="AJ10" s="37"/>
    </row>
    <row r="11" spans="2:36" s="38" customFormat="1" ht="17.25" thickTop="1" thickBot="1">
      <c r="B11" s="29"/>
      <c r="C11" s="32"/>
      <c r="D11" s="31"/>
      <c r="E11" s="32"/>
      <c r="F11" s="53"/>
      <c r="G11" s="32"/>
      <c r="H11" s="32"/>
      <c r="I11" s="64"/>
      <c r="J11" s="65" t="s">
        <v>32</v>
      </c>
      <c r="K11" s="32"/>
      <c r="L11" s="32"/>
      <c r="M11" s="32"/>
      <c r="N11" s="56"/>
      <c r="O11" s="32"/>
      <c r="P11" s="32"/>
      <c r="Q11" s="31"/>
      <c r="R11" s="32"/>
      <c r="S11" s="32"/>
      <c r="T11" s="53"/>
      <c r="U11" s="32"/>
      <c r="V11" s="32"/>
      <c r="W11" s="35"/>
      <c r="X11" s="66"/>
      <c r="Y11" s="32"/>
      <c r="Z11" s="32"/>
      <c r="AA11" s="32"/>
      <c r="AB11" s="56"/>
      <c r="AC11" s="32"/>
      <c r="AD11" s="32"/>
      <c r="AE11" s="333">
        <v>3.23</v>
      </c>
      <c r="AF11" s="331">
        <f t="shared" si="0"/>
        <v>2.8319999999999999</v>
      </c>
      <c r="AG11" s="44" t="s">
        <v>8</v>
      </c>
      <c r="AH11" s="157">
        <f t="shared" si="1"/>
        <v>2.8319999999999999</v>
      </c>
      <c r="AI11" s="398" t="s">
        <v>159</v>
      </c>
      <c r="AJ11" s="37"/>
    </row>
    <row r="12" spans="2:36" s="38" customFormat="1" ht="16.5" thickTop="1">
      <c r="B12" s="29"/>
      <c r="C12" s="32"/>
      <c r="D12" s="31"/>
      <c r="E12" s="32"/>
      <c r="F12" s="53"/>
      <c r="G12" s="32"/>
      <c r="H12" s="32"/>
      <c r="I12" s="32"/>
      <c r="J12" s="67"/>
      <c r="K12" s="32"/>
      <c r="L12" s="32"/>
      <c r="M12" s="32"/>
      <c r="N12" s="56"/>
      <c r="O12" s="32"/>
      <c r="P12" s="32"/>
      <c r="Q12" s="31"/>
      <c r="R12" s="32"/>
      <c r="S12" s="32"/>
      <c r="T12" s="53"/>
      <c r="U12" s="32"/>
      <c r="V12" s="32"/>
      <c r="W12" s="35"/>
      <c r="X12" s="68"/>
      <c r="Y12" s="32"/>
      <c r="Z12" s="32"/>
      <c r="AA12" s="32"/>
      <c r="AB12" s="56"/>
      <c r="AC12" s="32"/>
      <c r="AD12" s="32"/>
      <c r="AE12" s="333">
        <v>20.22</v>
      </c>
      <c r="AF12" s="331">
        <f t="shared" si="0"/>
        <v>19.821999999999999</v>
      </c>
      <c r="AG12" s="44" t="s">
        <v>10</v>
      </c>
      <c r="AH12" s="157">
        <f t="shared" si="1"/>
        <v>0</v>
      </c>
      <c r="AI12" s="328" t="s">
        <v>160</v>
      </c>
      <c r="AJ12" s="37"/>
    </row>
    <row r="13" spans="2:36" s="38" customFormat="1" ht="15.75">
      <c r="B13" s="29"/>
      <c r="C13" s="32"/>
      <c r="D13" s="31"/>
      <c r="E13" s="32"/>
      <c r="F13" s="53"/>
      <c r="G13" s="32"/>
      <c r="H13" s="32"/>
      <c r="I13" s="32"/>
      <c r="J13" s="69" t="s">
        <v>33</v>
      </c>
      <c r="K13" s="32"/>
      <c r="L13" s="32"/>
      <c r="M13" s="32"/>
      <c r="N13" s="56"/>
      <c r="O13" s="32"/>
      <c r="P13" s="32"/>
      <c r="Q13" s="31"/>
      <c r="R13" s="32"/>
      <c r="S13" s="32"/>
      <c r="T13" s="53"/>
      <c r="U13" s="32"/>
      <c r="V13" s="32"/>
      <c r="W13" s="70"/>
      <c r="X13" s="68"/>
      <c r="Y13" s="32"/>
      <c r="Z13" s="32"/>
      <c r="AA13" s="32"/>
      <c r="AB13" s="56"/>
      <c r="AC13" s="32"/>
      <c r="AD13" s="32"/>
      <c r="AE13" s="333">
        <v>20.21</v>
      </c>
      <c r="AF13" s="331">
        <f t="shared" si="0"/>
        <v>19.812000000000001</v>
      </c>
      <c r="AG13" s="44" t="s">
        <v>10</v>
      </c>
      <c r="AH13" s="157">
        <f t="shared" si="1"/>
        <v>0</v>
      </c>
      <c r="AI13" s="328" t="s">
        <v>161</v>
      </c>
      <c r="AJ13" s="37"/>
    </row>
    <row r="14" spans="2:36" s="38" customFormat="1" ht="16.5" thickBot="1">
      <c r="B14" s="29"/>
      <c r="C14" s="32"/>
      <c r="D14" s="31"/>
      <c r="E14" s="32"/>
      <c r="F14" s="53"/>
      <c r="G14" s="32"/>
      <c r="H14" s="32"/>
      <c r="I14" s="32"/>
      <c r="J14" s="71"/>
      <c r="K14" s="32"/>
      <c r="L14" s="32"/>
      <c r="M14" s="32"/>
      <c r="N14" s="56"/>
      <c r="O14" s="32"/>
      <c r="P14" s="32"/>
      <c r="Q14" s="31"/>
      <c r="R14" s="32"/>
      <c r="S14" s="32"/>
      <c r="T14" s="53"/>
      <c r="U14" s="32"/>
      <c r="V14" s="32"/>
      <c r="W14" s="70"/>
      <c r="X14" s="68"/>
      <c r="Y14" s="32"/>
      <c r="Z14" s="32"/>
      <c r="AA14" s="32"/>
      <c r="AB14" s="56"/>
      <c r="AC14" s="32"/>
      <c r="AD14" s="32"/>
      <c r="AE14" s="333">
        <v>10.199999999999999</v>
      </c>
      <c r="AF14" s="331">
        <f t="shared" si="0"/>
        <v>9.8019999999999996</v>
      </c>
      <c r="AG14" s="44" t="s">
        <v>10</v>
      </c>
      <c r="AH14" s="157">
        <f t="shared" si="1"/>
        <v>0</v>
      </c>
      <c r="AI14" s="328" t="s">
        <v>162</v>
      </c>
      <c r="AJ14" s="37"/>
    </row>
    <row r="15" spans="2:36" s="38" customFormat="1" ht="17.25" thickTop="1" thickBot="1">
      <c r="B15" s="29"/>
      <c r="C15" s="32"/>
      <c r="D15" s="31"/>
      <c r="E15" s="32"/>
      <c r="F15" s="53"/>
      <c r="G15" s="32"/>
      <c r="H15" s="32"/>
      <c r="I15" s="70"/>
      <c r="J15" s="72"/>
      <c r="K15" s="32"/>
      <c r="L15" s="32"/>
      <c r="M15" s="32"/>
      <c r="N15" s="56"/>
      <c r="O15" s="32"/>
      <c r="P15" s="32"/>
      <c r="Q15" s="31"/>
      <c r="R15" s="32"/>
      <c r="S15" s="32"/>
      <c r="T15" s="53"/>
      <c r="U15" s="32"/>
      <c r="V15" s="32"/>
      <c r="W15" s="70"/>
      <c r="X15" s="73"/>
      <c r="Y15" s="32"/>
      <c r="Z15" s="32"/>
      <c r="AA15" s="32"/>
      <c r="AB15" s="56"/>
      <c r="AC15" s="32"/>
      <c r="AD15" s="32"/>
      <c r="AE15" s="333">
        <v>10.210000000000001</v>
      </c>
      <c r="AF15" s="331">
        <f t="shared" si="0"/>
        <v>9.8120000000000012</v>
      </c>
      <c r="AG15" s="44" t="s">
        <v>10</v>
      </c>
      <c r="AH15" s="157">
        <f t="shared" si="1"/>
        <v>0</v>
      </c>
      <c r="AI15" s="328" t="s">
        <v>163</v>
      </c>
      <c r="AJ15" s="37"/>
    </row>
    <row r="16" spans="2:36" s="38" customFormat="1" ht="17.25" thickTop="1" thickBot="1">
      <c r="B16" s="29"/>
      <c r="C16" s="32"/>
      <c r="D16" s="31"/>
      <c r="E16" s="32"/>
      <c r="F16" s="53"/>
      <c r="G16" s="32"/>
      <c r="H16" s="74"/>
      <c r="I16" s="75"/>
      <c r="J16" s="76"/>
      <c r="K16" s="77"/>
      <c r="L16" s="78"/>
      <c r="M16" s="32"/>
      <c r="N16" s="56"/>
      <c r="O16" s="32"/>
      <c r="P16" s="32"/>
      <c r="Q16" s="31"/>
      <c r="R16" s="32"/>
      <c r="S16" s="32"/>
      <c r="T16" s="53"/>
      <c r="U16" s="32"/>
      <c r="V16" s="32"/>
      <c r="W16" s="70"/>
      <c r="X16" s="76"/>
      <c r="Y16" s="32"/>
      <c r="Z16" s="32"/>
      <c r="AA16" s="32"/>
      <c r="AB16" s="56"/>
      <c r="AC16" s="32"/>
      <c r="AD16" s="32"/>
      <c r="AE16" s="333">
        <v>15.22</v>
      </c>
      <c r="AF16" s="331">
        <f t="shared" si="0"/>
        <v>14.822000000000001</v>
      </c>
      <c r="AG16" s="44" t="s">
        <v>10</v>
      </c>
      <c r="AH16" s="157">
        <f t="shared" si="1"/>
        <v>0</v>
      </c>
      <c r="AI16" s="328" t="s">
        <v>164</v>
      </c>
      <c r="AJ16" s="37"/>
    </row>
    <row r="17" spans="2:36" s="38" customFormat="1" ht="17.25" thickTop="1" thickBot="1">
      <c r="B17" s="29"/>
      <c r="C17" s="79" t="s">
        <v>34</v>
      </c>
      <c r="D17" s="79"/>
      <c r="E17" s="80"/>
      <c r="F17" s="39"/>
      <c r="G17" s="81"/>
      <c r="H17" s="82"/>
      <c r="I17" s="75"/>
      <c r="J17" s="76"/>
      <c r="K17" s="83"/>
      <c r="L17" s="84"/>
      <c r="M17" s="82"/>
      <c r="N17" s="56"/>
      <c r="O17" s="32"/>
      <c r="P17" s="32"/>
      <c r="Q17" s="31"/>
      <c r="R17" s="32"/>
      <c r="S17" s="32"/>
      <c r="T17" s="53"/>
      <c r="U17" s="32"/>
      <c r="V17" s="74"/>
      <c r="W17" s="75"/>
      <c r="X17" s="76"/>
      <c r="Y17" s="85"/>
      <c r="Z17" s="78"/>
      <c r="AA17" s="32"/>
      <c r="AB17" s="56"/>
      <c r="AC17" s="32"/>
      <c r="AD17" s="32"/>
      <c r="AE17" s="333">
        <v>15.21</v>
      </c>
      <c r="AF17" s="331">
        <f t="shared" si="0"/>
        <v>14.812000000000001</v>
      </c>
      <c r="AG17" s="44" t="s">
        <v>10</v>
      </c>
      <c r="AH17" s="157">
        <f t="shared" si="1"/>
        <v>0</v>
      </c>
      <c r="AI17" s="328" t="s">
        <v>165</v>
      </c>
      <c r="AJ17" s="37"/>
    </row>
    <row r="18" spans="2:36" s="38" customFormat="1" ht="17.25" thickTop="1" thickBot="1">
      <c r="B18" s="29"/>
      <c r="C18" s="86"/>
      <c r="D18" s="86"/>
      <c r="E18" s="87"/>
      <c r="F18" s="47"/>
      <c r="G18" s="32"/>
      <c r="H18" s="88"/>
      <c r="I18" s="89"/>
      <c r="J18" s="76"/>
      <c r="K18" s="90"/>
      <c r="L18" s="88"/>
      <c r="M18" s="32"/>
      <c r="N18" s="56"/>
      <c r="O18" s="32"/>
      <c r="P18" s="32"/>
      <c r="Q18" s="31"/>
      <c r="R18" s="32"/>
      <c r="S18" s="32"/>
      <c r="T18" s="53"/>
      <c r="U18" s="81"/>
      <c r="V18" s="82"/>
      <c r="W18" s="75"/>
      <c r="X18" s="76"/>
      <c r="Y18" s="83"/>
      <c r="Z18" s="84"/>
      <c r="AA18" s="82"/>
      <c r="AB18" s="56"/>
      <c r="AC18" s="32"/>
      <c r="AD18" s="32"/>
      <c r="AE18" s="215"/>
      <c r="AF18" s="156">
        <f t="shared" si="0"/>
        <v>-0.39799999999999996</v>
      </c>
      <c r="AG18" s="44" t="s">
        <v>10</v>
      </c>
      <c r="AH18" s="157">
        <f t="shared" si="1"/>
        <v>0</v>
      </c>
      <c r="AI18" s="216"/>
      <c r="AJ18" s="212"/>
    </row>
    <row r="19" spans="2:36" s="38" customFormat="1" ht="17.25" thickTop="1" thickBot="1">
      <c r="B19" s="29"/>
      <c r="C19" s="32"/>
      <c r="D19" s="31"/>
      <c r="E19" s="32"/>
      <c r="F19" s="53"/>
      <c r="H19" s="32"/>
      <c r="I19" s="70"/>
      <c r="J19" s="91"/>
      <c r="K19" s="32"/>
      <c r="N19" s="56"/>
      <c r="O19" s="32"/>
      <c r="P19" s="32"/>
      <c r="Q19" s="31"/>
      <c r="R19" s="32"/>
      <c r="S19" s="32"/>
      <c r="T19" s="53"/>
      <c r="U19" s="32"/>
      <c r="V19" s="88"/>
      <c r="W19" s="89"/>
      <c r="X19" s="76"/>
      <c r="Y19" s="90"/>
      <c r="Z19" s="88"/>
      <c r="AA19" s="32"/>
      <c r="AB19" s="56"/>
      <c r="AC19" s="32"/>
      <c r="AD19" s="32"/>
      <c r="AE19" s="217"/>
      <c r="AF19" s="156">
        <f t="shared" si="0"/>
        <v>-0.39799999999999996</v>
      </c>
      <c r="AG19" s="44" t="s">
        <v>10</v>
      </c>
      <c r="AH19" s="157">
        <f t="shared" ref="AH19:AH36" si="2">IF(AG19="IN",AF19,0)</f>
        <v>0</v>
      </c>
      <c r="AI19" s="216"/>
      <c r="AJ19" s="212"/>
    </row>
    <row r="20" spans="2:36" s="38" customFormat="1" ht="17.25" thickTop="1" thickBot="1">
      <c r="B20" s="29"/>
      <c r="C20" s="32"/>
      <c r="D20" s="92"/>
      <c r="E20" s="32"/>
      <c r="F20" s="93"/>
      <c r="G20" s="32"/>
      <c r="H20" s="32"/>
      <c r="I20" s="70"/>
      <c r="J20" s="91"/>
      <c r="K20" s="32"/>
      <c r="L20" s="32"/>
      <c r="M20" s="32"/>
      <c r="N20" s="94"/>
      <c r="O20" s="32"/>
      <c r="P20" s="32"/>
      <c r="Q20" s="31"/>
      <c r="R20" s="32"/>
      <c r="S20" s="32"/>
      <c r="T20" s="93"/>
      <c r="U20" s="32"/>
      <c r="V20" s="32"/>
      <c r="W20" s="70"/>
      <c r="X20" s="76"/>
      <c r="Y20" s="95"/>
      <c r="Z20" s="32"/>
      <c r="AA20" s="32"/>
      <c r="AB20" s="94"/>
      <c r="AC20" s="30"/>
      <c r="AE20" s="217"/>
      <c r="AF20" s="156">
        <f t="shared" si="0"/>
        <v>-0.39799999999999996</v>
      </c>
      <c r="AG20" s="44" t="s">
        <v>10</v>
      </c>
      <c r="AH20" s="157">
        <f t="shared" si="2"/>
        <v>0</v>
      </c>
      <c r="AI20" s="216"/>
      <c r="AJ20" s="212"/>
    </row>
    <row r="21" spans="2:36" s="38" customFormat="1" ht="17.25" thickTop="1" thickBot="1">
      <c r="B21" s="29"/>
      <c r="C21" s="32"/>
      <c r="D21" s="92"/>
      <c r="E21" s="32"/>
      <c r="F21" s="56"/>
      <c r="G21" s="32"/>
      <c r="H21" s="32"/>
      <c r="I21" s="32"/>
      <c r="J21" s="96" t="s">
        <v>35</v>
      </c>
      <c r="K21" s="32"/>
      <c r="L21" s="32"/>
      <c r="M21" s="32"/>
      <c r="N21" s="53"/>
      <c r="O21" s="32"/>
      <c r="P21" s="32"/>
      <c r="Q21" s="31"/>
      <c r="R21" s="32"/>
      <c r="S21" s="32"/>
      <c r="T21" s="56"/>
      <c r="U21" s="32"/>
      <c r="V21" s="32"/>
      <c r="W21" s="70"/>
      <c r="X21" s="76"/>
      <c r="Y21" s="32"/>
      <c r="Z21" s="32"/>
      <c r="AA21" s="56"/>
      <c r="AB21" s="32"/>
      <c r="AC21" s="30"/>
      <c r="AE21" s="217"/>
      <c r="AF21" s="156">
        <f t="shared" si="0"/>
        <v>-0.39799999999999996</v>
      </c>
      <c r="AG21" s="44" t="s">
        <v>10</v>
      </c>
      <c r="AH21" s="157">
        <f t="shared" si="2"/>
        <v>0</v>
      </c>
      <c r="AI21" s="216"/>
      <c r="AJ21" s="212"/>
    </row>
    <row r="22" spans="2:36" s="38" customFormat="1" ht="17.25" thickTop="1" thickBot="1">
      <c r="B22" s="29"/>
      <c r="C22" s="32"/>
      <c r="D22" s="41" t="s">
        <v>36</v>
      </c>
      <c r="E22" s="39"/>
      <c r="F22" s="80"/>
      <c r="G22" s="39"/>
      <c r="H22" s="97"/>
      <c r="I22" s="98"/>
      <c r="J22" s="72"/>
      <c r="K22" s="99"/>
      <c r="L22" s="97"/>
      <c r="M22" s="32"/>
      <c r="N22" s="53"/>
      <c r="O22" s="32"/>
      <c r="P22" s="32"/>
      <c r="R22" s="32"/>
      <c r="S22" s="32"/>
      <c r="T22" s="100"/>
      <c r="U22" s="32"/>
      <c r="V22" s="32"/>
      <c r="W22" s="70"/>
      <c r="X22" s="72"/>
      <c r="Y22" s="32"/>
      <c r="Z22" s="32"/>
      <c r="AA22" s="56"/>
      <c r="AB22" s="32"/>
      <c r="AC22" s="32"/>
      <c r="AD22" s="32"/>
      <c r="AE22" s="217"/>
      <c r="AF22" s="156">
        <f t="shared" si="0"/>
        <v>-0.39799999999999996</v>
      </c>
      <c r="AG22" s="44" t="s">
        <v>10</v>
      </c>
      <c r="AH22" s="157">
        <f t="shared" si="2"/>
        <v>0</v>
      </c>
      <c r="AI22" s="216"/>
      <c r="AJ22" s="212"/>
    </row>
    <row r="23" spans="2:36" s="38" customFormat="1" ht="17.25" customHeight="1" thickTop="1" thickBot="1">
      <c r="B23" s="29"/>
      <c r="C23" s="32"/>
      <c r="D23" s="41"/>
      <c r="E23" s="39"/>
      <c r="F23" s="80"/>
      <c r="G23" s="39"/>
      <c r="H23" s="32"/>
      <c r="I23" s="70"/>
      <c r="J23" s="76"/>
      <c r="K23" s="32"/>
      <c r="L23" s="32"/>
      <c r="M23" s="101"/>
      <c r="N23" s="39"/>
      <c r="O23" s="39"/>
      <c r="P23" s="39"/>
      <c r="Q23" s="41"/>
      <c r="R23" s="39"/>
      <c r="S23" s="39"/>
      <c r="T23" s="80"/>
      <c r="U23" s="39"/>
      <c r="V23" s="97"/>
      <c r="W23" s="102"/>
      <c r="X23" s="76"/>
      <c r="Y23" s="103"/>
      <c r="Z23" s="97"/>
      <c r="AA23" s="56"/>
      <c r="AB23" s="32"/>
      <c r="AC23" s="32"/>
      <c r="AD23" s="32"/>
      <c r="AE23" s="217"/>
      <c r="AF23" s="156">
        <f t="shared" si="0"/>
        <v>-0.39799999999999996</v>
      </c>
      <c r="AG23" s="44" t="s">
        <v>10</v>
      </c>
      <c r="AH23" s="157">
        <f t="shared" si="2"/>
        <v>0</v>
      </c>
      <c r="AI23" s="216"/>
      <c r="AJ23" s="212"/>
    </row>
    <row r="24" spans="2:36" s="38" customFormat="1" ht="16.5" thickTop="1">
      <c r="B24" s="29"/>
      <c r="C24" s="32"/>
      <c r="D24" s="92"/>
      <c r="E24" s="32"/>
      <c r="F24" s="100"/>
      <c r="G24" s="32"/>
      <c r="H24" s="104"/>
      <c r="I24" s="105"/>
      <c r="J24" s="91"/>
      <c r="L24" s="104"/>
      <c r="M24" s="56"/>
      <c r="N24" s="32"/>
      <c r="O24" s="32"/>
      <c r="P24" s="32"/>
      <c r="Q24" s="92" t="s">
        <v>37</v>
      </c>
      <c r="R24" s="32"/>
      <c r="S24" s="32"/>
      <c r="T24" s="100"/>
      <c r="U24" s="32"/>
      <c r="V24" s="104"/>
      <c r="W24" s="105"/>
      <c r="X24" s="76"/>
      <c r="Z24" s="104"/>
      <c r="AA24" s="56"/>
      <c r="AB24" s="32"/>
      <c r="AC24" s="32"/>
      <c r="AD24" s="32"/>
      <c r="AE24" s="217"/>
      <c r="AF24" s="156">
        <f t="shared" si="0"/>
        <v>-0.39799999999999996</v>
      </c>
      <c r="AG24" s="44" t="s">
        <v>10</v>
      </c>
      <c r="AH24" s="157">
        <f t="shared" si="2"/>
        <v>0</v>
      </c>
      <c r="AI24" s="216"/>
      <c r="AJ24" s="212"/>
    </row>
    <row r="25" spans="2:36" s="38" customFormat="1" ht="15.75">
      <c r="B25" s="29"/>
      <c r="C25" s="32"/>
      <c r="D25" s="92"/>
      <c r="E25" s="32"/>
      <c r="F25" s="100"/>
      <c r="G25" s="32"/>
      <c r="H25" s="104"/>
      <c r="I25" s="105"/>
      <c r="J25" s="76"/>
      <c r="K25" s="32"/>
      <c r="L25" s="104"/>
      <c r="M25" s="56"/>
      <c r="N25" s="32"/>
      <c r="O25" s="32"/>
      <c r="P25" s="32"/>
      <c r="Q25" s="31"/>
      <c r="R25" s="32"/>
      <c r="S25" s="32"/>
      <c r="T25" s="100"/>
      <c r="U25" s="32"/>
      <c r="V25" s="104"/>
      <c r="W25" s="105"/>
      <c r="X25" s="76"/>
      <c r="Y25" s="32"/>
      <c r="Z25" s="104"/>
      <c r="AA25" s="56"/>
      <c r="AB25" s="32"/>
      <c r="AC25" s="32"/>
      <c r="AD25" s="32"/>
      <c r="AE25" s="217"/>
      <c r="AF25" s="156">
        <f t="shared" si="0"/>
        <v>-0.39799999999999996</v>
      </c>
      <c r="AG25" s="44" t="s">
        <v>10</v>
      </c>
      <c r="AH25" s="157">
        <f t="shared" si="2"/>
        <v>0</v>
      </c>
      <c r="AI25" s="216"/>
      <c r="AJ25" s="212"/>
    </row>
    <row r="26" spans="2:36" s="38" customFormat="1" ht="15.75">
      <c r="B26" s="29"/>
      <c r="C26" s="32"/>
      <c r="D26" s="92"/>
      <c r="E26" s="32"/>
      <c r="F26" s="100"/>
      <c r="G26" s="32"/>
      <c r="H26" s="104"/>
      <c r="I26" s="105"/>
      <c r="J26" s="76"/>
      <c r="K26" s="32"/>
      <c r="L26" s="104"/>
      <c r="M26" s="56"/>
      <c r="N26" s="32"/>
      <c r="O26" s="32"/>
      <c r="P26" s="32"/>
      <c r="Q26" s="31"/>
      <c r="R26" s="32"/>
      <c r="S26" s="32"/>
      <c r="T26" s="100"/>
      <c r="U26" s="32"/>
      <c r="V26" s="104"/>
      <c r="W26" s="105"/>
      <c r="X26" s="76"/>
      <c r="Y26" s="32"/>
      <c r="Z26" s="104"/>
      <c r="AA26" s="56"/>
      <c r="AB26" s="32"/>
      <c r="AC26" s="32"/>
      <c r="AD26" s="32"/>
      <c r="AE26" s="217"/>
      <c r="AF26" s="156">
        <f t="shared" si="0"/>
        <v>-0.39799999999999996</v>
      </c>
      <c r="AG26" s="44" t="s">
        <v>10</v>
      </c>
      <c r="AH26" s="157">
        <f t="shared" si="2"/>
        <v>0</v>
      </c>
      <c r="AI26" s="216"/>
      <c r="AJ26" s="212"/>
    </row>
    <row r="27" spans="2:36" s="38" customFormat="1" ht="15.75">
      <c r="B27" s="29"/>
      <c r="C27" s="32"/>
      <c r="D27" s="92"/>
      <c r="E27" s="32"/>
      <c r="F27" s="100"/>
      <c r="G27" s="32"/>
      <c r="H27" s="104"/>
      <c r="I27" s="105"/>
      <c r="J27" s="76"/>
      <c r="K27" s="32"/>
      <c r="L27" s="104"/>
      <c r="M27" s="56"/>
      <c r="N27" s="32"/>
      <c r="O27" s="32"/>
      <c r="P27" s="32"/>
      <c r="Q27" s="31"/>
      <c r="R27" s="32"/>
      <c r="S27" s="32"/>
      <c r="T27" s="100"/>
      <c r="U27" s="32"/>
      <c r="V27" s="104"/>
      <c r="W27" s="105"/>
      <c r="X27" s="76"/>
      <c r="Y27" s="32"/>
      <c r="Z27" s="104"/>
      <c r="AA27" s="56"/>
      <c r="AB27" s="32"/>
      <c r="AC27" s="32"/>
      <c r="AD27" s="32"/>
      <c r="AE27" s="217"/>
      <c r="AF27" s="156">
        <f t="shared" si="0"/>
        <v>-0.39799999999999996</v>
      </c>
      <c r="AG27" s="44" t="s">
        <v>10</v>
      </c>
      <c r="AH27" s="157">
        <f t="shared" si="2"/>
        <v>0</v>
      </c>
      <c r="AI27" s="216"/>
      <c r="AJ27" s="212"/>
    </row>
    <row r="28" spans="2:36" s="38" customFormat="1" ht="15.75">
      <c r="B28" s="29"/>
      <c r="C28" s="32"/>
      <c r="D28" s="41" t="s">
        <v>38</v>
      </c>
      <c r="E28" s="39"/>
      <c r="F28" s="80"/>
      <c r="G28" s="39"/>
      <c r="H28" s="104"/>
      <c r="I28" s="105"/>
      <c r="J28" s="76"/>
      <c r="K28" s="32"/>
      <c r="L28" s="104"/>
      <c r="M28" s="56"/>
      <c r="N28" s="32"/>
      <c r="O28" s="32"/>
      <c r="P28" s="32"/>
      <c r="Q28" s="31"/>
      <c r="R28" s="32"/>
      <c r="S28" s="32"/>
      <c r="T28" s="100"/>
      <c r="U28" s="32"/>
      <c r="V28" s="104"/>
      <c r="W28" s="105"/>
      <c r="X28" s="76"/>
      <c r="Y28" s="32"/>
      <c r="Z28" s="104"/>
      <c r="AA28" s="56"/>
      <c r="AB28" s="32"/>
      <c r="AC28" s="32"/>
      <c r="AD28" s="32"/>
      <c r="AE28" s="217"/>
      <c r="AF28" s="156">
        <f t="shared" si="0"/>
        <v>-0.39799999999999996</v>
      </c>
      <c r="AG28" s="44" t="s">
        <v>10</v>
      </c>
      <c r="AH28" s="157">
        <f t="shared" si="2"/>
        <v>0</v>
      </c>
      <c r="AI28" s="216"/>
      <c r="AJ28" s="212"/>
    </row>
    <row r="29" spans="2:36" s="38" customFormat="1" ht="16.5" thickBot="1">
      <c r="B29" s="29"/>
      <c r="C29" s="32"/>
      <c r="D29" s="41" t="s">
        <v>39</v>
      </c>
      <c r="E29" s="39"/>
      <c r="F29" s="80"/>
      <c r="G29" s="39"/>
      <c r="H29" s="106"/>
      <c r="I29" s="107"/>
      <c r="J29" s="31"/>
      <c r="K29" s="107"/>
      <c r="L29" s="106"/>
      <c r="M29" s="56"/>
      <c r="N29" s="32"/>
      <c r="O29" s="32"/>
      <c r="P29" s="32"/>
      <c r="Q29" s="31"/>
      <c r="R29" s="32"/>
      <c r="S29" s="32"/>
      <c r="T29" s="100"/>
      <c r="U29" s="32"/>
      <c r="V29" s="106"/>
      <c r="W29" s="107"/>
      <c r="X29" s="76"/>
      <c r="Y29" s="107"/>
      <c r="Z29" s="106"/>
      <c r="AA29" s="56"/>
      <c r="AB29" s="32"/>
      <c r="AC29" s="32"/>
      <c r="AD29" s="32"/>
      <c r="AE29" s="217"/>
      <c r="AF29" s="156">
        <f t="shared" si="0"/>
        <v>-0.39799999999999996</v>
      </c>
      <c r="AG29" s="44" t="s">
        <v>10</v>
      </c>
      <c r="AH29" s="157">
        <f t="shared" si="2"/>
        <v>0</v>
      </c>
      <c r="AI29" s="216"/>
      <c r="AJ29" s="212"/>
    </row>
    <row r="30" spans="2:36" s="38" customFormat="1" ht="16.5" thickTop="1">
      <c r="B30" s="29"/>
      <c r="C30" s="32"/>
      <c r="D30" s="31"/>
      <c r="E30" s="32"/>
      <c r="F30" s="100"/>
      <c r="G30" s="32"/>
      <c r="H30" s="108"/>
      <c r="I30" s="109"/>
      <c r="J30" s="66"/>
      <c r="L30" s="108"/>
      <c r="M30" s="56"/>
      <c r="N30" s="32"/>
      <c r="O30" s="32"/>
      <c r="P30" s="32"/>
      <c r="Q30" s="31"/>
      <c r="R30" s="32"/>
      <c r="S30" s="32"/>
      <c r="T30" s="100"/>
      <c r="U30" s="32"/>
      <c r="V30" s="108"/>
      <c r="W30" s="109"/>
      <c r="X30" s="66"/>
      <c r="Z30" s="108"/>
      <c r="AA30" s="56"/>
      <c r="AB30" s="32"/>
      <c r="AC30" s="32"/>
      <c r="AD30" s="32"/>
      <c r="AE30" s="217"/>
      <c r="AF30" s="156">
        <f t="shared" si="0"/>
        <v>-0.39799999999999996</v>
      </c>
      <c r="AG30" s="44" t="s">
        <v>10</v>
      </c>
      <c r="AH30" s="157">
        <f t="shared" si="2"/>
        <v>0</v>
      </c>
      <c r="AI30" s="216"/>
      <c r="AJ30" s="212"/>
    </row>
    <row r="31" spans="2:36" s="38" customFormat="1" ht="15.75">
      <c r="B31" s="29"/>
      <c r="C31" s="32"/>
      <c r="D31" s="31"/>
      <c r="E31" s="32"/>
      <c r="F31" s="56"/>
      <c r="G31" s="32"/>
      <c r="H31" s="108"/>
      <c r="I31" s="110"/>
      <c r="J31" s="66"/>
      <c r="K31" s="111"/>
      <c r="L31" s="108"/>
      <c r="M31" s="56"/>
      <c r="N31" s="32"/>
      <c r="O31" s="32"/>
      <c r="P31" s="32"/>
      <c r="Q31" s="31"/>
      <c r="R31" s="32"/>
      <c r="S31" s="32"/>
      <c r="T31" s="56"/>
      <c r="U31" s="32"/>
      <c r="V31" s="108"/>
      <c r="W31" s="110"/>
      <c r="X31" s="66"/>
      <c r="Y31" s="111"/>
      <c r="Z31" s="108"/>
      <c r="AA31" s="56"/>
      <c r="AB31" s="32"/>
      <c r="AC31" s="32"/>
      <c r="AD31" s="32"/>
      <c r="AE31" s="217"/>
      <c r="AF31" s="156">
        <f t="shared" si="0"/>
        <v>-0.39799999999999996</v>
      </c>
      <c r="AG31" s="44" t="s">
        <v>10</v>
      </c>
      <c r="AH31" s="157">
        <f t="shared" si="2"/>
        <v>0</v>
      </c>
      <c r="AI31" s="216"/>
      <c r="AJ31" s="212"/>
    </row>
    <row r="32" spans="2:36" s="38" customFormat="1" ht="15">
      <c r="B32" s="29"/>
      <c r="C32" s="32"/>
      <c r="D32" s="31"/>
      <c r="E32" s="32"/>
      <c r="F32" s="56"/>
      <c r="G32" s="32"/>
      <c r="H32" s="112"/>
      <c r="I32" s="113"/>
      <c r="J32" s="66"/>
      <c r="L32" s="112"/>
      <c r="M32" s="56"/>
      <c r="N32" s="32"/>
      <c r="O32" s="32"/>
      <c r="P32" s="32"/>
      <c r="Q32" s="31"/>
      <c r="R32" s="32"/>
      <c r="S32" s="32"/>
      <c r="T32" s="56"/>
      <c r="U32" s="32"/>
      <c r="V32" s="112"/>
      <c r="W32" s="113"/>
      <c r="X32" s="66"/>
      <c r="Z32" s="112"/>
      <c r="AA32" s="56"/>
      <c r="AB32" s="32"/>
      <c r="AC32" s="32"/>
      <c r="AD32" s="32"/>
      <c r="AE32" s="217"/>
      <c r="AF32" s="156">
        <f t="shared" si="0"/>
        <v>-0.39799999999999996</v>
      </c>
      <c r="AG32" s="44" t="s">
        <v>10</v>
      </c>
      <c r="AH32" s="157">
        <f t="shared" si="2"/>
        <v>0</v>
      </c>
      <c r="AI32" s="218"/>
      <c r="AJ32" s="212"/>
    </row>
    <row r="33" spans="2:36" s="38" customFormat="1" ht="15">
      <c r="B33" s="29"/>
      <c r="C33" s="32"/>
      <c r="D33" s="31"/>
      <c r="E33" s="32"/>
      <c r="F33" s="56"/>
      <c r="G33" s="32"/>
      <c r="H33" s="32"/>
      <c r="I33" s="56"/>
      <c r="J33" s="66"/>
      <c r="K33" s="32"/>
      <c r="L33" s="32"/>
      <c r="M33" s="56"/>
      <c r="N33" s="32"/>
      <c r="O33" s="32"/>
      <c r="P33" s="32"/>
      <c r="Q33" s="31"/>
      <c r="R33" s="32"/>
      <c r="S33" s="32"/>
      <c r="T33" s="56"/>
      <c r="U33" s="32"/>
      <c r="V33" s="32"/>
      <c r="W33" s="56"/>
      <c r="X33" s="66"/>
      <c r="Y33" s="32"/>
      <c r="Z33" s="32"/>
      <c r="AA33" s="56"/>
      <c r="AB33" s="32"/>
      <c r="AC33" s="32"/>
      <c r="AD33" s="32"/>
      <c r="AE33" s="217"/>
      <c r="AF33" s="156">
        <f t="shared" si="0"/>
        <v>-0.39799999999999996</v>
      </c>
      <c r="AG33" s="44" t="s">
        <v>10</v>
      </c>
      <c r="AH33" s="157">
        <f t="shared" si="2"/>
        <v>0</v>
      </c>
      <c r="AI33" s="218"/>
      <c r="AJ33" s="212"/>
    </row>
    <row r="34" spans="2:36" s="38" customFormat="1" ht="15">
      <c r="B34" s="29"/>
      <c r="C34" s="32"/>
      <c r="D34" s="31"/>
      <c r="E34" s="32"/>
      <c r="F34" s="32"/>
      <c r="G34" s="32"/>
      <c r="H34" s="32"/>
      <c r="I34" s="56"/>
      <c r="J34" s="114"/>
      <c r="K34" s="32"/>
      <c r="L34" s="32"/>
      <c r="M34" s="32"/>
      <c r="N34" s="32"/>
      <c r="O34" s="32"/>
      <c r="P34" s="32"/>
      <c r="Q34" s="31"/>
      <c r="R34" s="32"/>
      <c r="S34" s="32"/>
      <c r="T34" s="32"/>
      <c r="U34" s="32"/>
      <c r="V34" s="32"/>
      <c r="W34" s="56"/>
      <c r="X34" s="114"/>
      <c r="Y34" s="32"/>
      <c r="Z34" s="32"/>
      <c r="AA34" s="32"/>
      <c r="AB34" s="32"/>
      <c r="AC34" s="32"/>
      <c r="AD34" s="32"/>
      <c r="AE34" s="217"/>
      <c r="AF34" s="156">
        <f t="shared" si="0"/>
        <v>-0.39799999999999996</v>
      </c>
      <c r="AG34" s="44" t="s">
        <v>10</v>
      </c>
      <c r="AH34" s="157">
        <f t="shared" si="2"/>
        <v>0</v>
      </c>
      <c r="AI34" s="218"/>
      <c r="AJ34" s="37"/>
    </row>
    <row r="35" spans="2:36" s="38" customFormat="1" ht="15.75" thickBot="1">
      <c r="B35" s="29"/>
      <c r="C35" s="32"/>
      <c r="D35" s="31"/>
      <c r="E35" s="32"/>
      <c r="F35" s="32"/>
      <c r="G35" s="32"/>
      <c r="H35" s="32"/>
      <c r="I35" s="32"/>
      <c r="J35" s="31"/>
      <c r="K35" s="32"/>
      <c r="L35" s="32"/>
      <c r="M35" s="32"/>
      <c r="N35" s="32"/>
      <c r="O35" s="32"/>
      <c r="P35" s="32"/>
      <c r="Q35" s="31"/>
      <c r="R35" s="32"/>
      <c r="S35" s="32"/>
      <c r="T35" s="32"/>
      <c r="U35" s="32"/>
      <c r="V35" s="32"/>
      <c r="W35" s="32"/>
      <c r="X35" s="31"/>
      <c r="Y35" s="32"/>
      <c r="Z35" s="32"/>
      <c r="AA35" s="32"/>
      <c r="AB35" s="32"/>
      <c r="AC35" s="32"/>
      <c r="AD35" s="32"/>
      <c r="AE35" s="217"/>
      <c r="AF35" s="156">
        <f t="shared" si="0"/>
        <v>-0.39799999999999996</v>
      </c>
      <c r="AG35" s="44" t="s">
        <v>10</v>
      </c>
      <c r="AH35" s="157">
        <f t="shared" si="2"/>
        <v>0</v>
      </c>
      <c r="AI35" s="218"/>
      <c r="AJ35" s="37"/>
    </row>
    <row r="36" spans="2:36" s="38" customFormat="1" ht="15.75" thickBot="1">
      <c r="B36" s="29"/>
      <c r="C36" s="32"/>
      <c r="D36" s="31"/>
      <c r="E36" s="115"/>
      <c r="F36" s="116"/>
      <c r="G36" s="116"/>
      <c r="H36" s="116"/>
      <c r="I36" s="116"/>
      <c r="J36" s="117" t="s">
        <v>40</v>
      </c>
      <c r="K36" s="116"/>
      <c r="L36" s="116"/>
      <c r="M36" s="116"/>
      <c r="N36" s="116"/>
      <c r="O36" s="118"/>
      <c r="P36" s="32"/>
      <c r="Q36" s="31"/>
      <c r="R36" s="32"/>
      <c r="S36" s="115"/>
      <c r="T36" s="116"/>
      <c r="U36" s="116"/>
      <c r="V36" s="116"/>
      <c r="W36" s="116"/>
      <c r="X36" s="117" t="s">
        <v>41</v>
      </c>
      <c r="Y36" s="116"/>
      <c r="Z36" s="116"/>
      <c r="AA36" s="116"/>
      <c r="AB36" s="116"/>
      <c r="AC36" s="118"/>
      <c r="AD36" s="32"/>
      <c r="AE36" s="217"/>
      <c r="AF36" s="156">
        <f t="shared" si="0"/>
        <v>-0.39799999999999996</v>
      </c>
      <c r="AG36" s="44" t="s">
        <v>10</v>
      </c>
      <c r="AH36" s="157">
        <f t="shared" si="2"/>
        <v>0</v>
      </c>
      <c r="AI36" s="218"/>
      <c r="AJ36" s="37"/>
    </row>
    <row r="37" spans="2:36" s="38" customFormat="1" ht="15.75" thickBot="1">
      <c r="B37" s="29"/>
      <c r="C37" s="32"/>
      <c r="D37" s="31"/>
      <c r="E37" s="32"/>
      <c r="F37" s="32"/>
      <c r="G37" s="32"/>
      <c r="H37" s="32"/>
      <c r="I37" s="32"/>
      <c r="J37" s="92"/>
      <c r="K37" s="32"/>
      <c r="L37" s="32"/>
      <c r="M37" s="32"/>
      <c r="N37" s="32"/>
      <c r="O37" s="32"/>
      <c r="P37" s="32"/>
      <c r="Q37" s="31"/>
      <c r="R37" s="32"/>
      <c r="S37" s="32"/>
      <c r="T37" s="32"/>
      <c r="U37" s="32"/>
      <c r="V37" s="32"/>
      <c r="W37" s="32"/>
      <c r="X37" s="92"/>
      <c r="Y37" s="32"/>
      <c r="Z37" s="32"/>
      <c r="AA37" s="32"/>
      <c r="AB37" s="32"/>
      <c r="AC37" s="32"/>
      <c r="AD37" s="32"/>
      <c r="AE37" s="219"/>
      <c r="AF37" s="220">
        <f>SUM(AH7:AH36)</f>
        <v>5.6639999999999997</v>
      </c>
      <c r="AG37" s="221" t="s">
        <v>42</v>
      </c>
      <c r="AH37" s="221"/>
      <c r="AI37" s="222"/>
      <c r="AJ37" s="37"/>
    </row>
    <row r="38" spans="2:36" s="38" customFormat="1" ht="15.75" thickBot="1">
      <c r="B38" s="29"/>
      <c r="C38" s="32"/>
      <c r="D38" s="31"/>
      <c r="E38" s="32"/>
      <c r="F38" s="32"/>
      <c r="G38" s="32"/>
      <c r="H38" s="32"/>
      <c r="I38" s="32"/>
      <c r="J38" s="92"/>
      <c r="K38" s="32"/>
      <c r="L38" s="32"/>
      <c r="M38" s="32"/>
      <c r="N38" s="32"/>
      <c r="O38" s="32"/>
      <c r="P38" s="32"/>
      <c r="Q38" s="31"/>
      <c r="R38" s="32"/>
      <c r="S38" s="32"/>
      <c r="T38" s="32"/>
      <c r="U38" s="32"/>
      <c r="V38" s="32"/>
      <c r="W38" s="32"/>
      <c r="X38" s="92"/>
      <c r="Y38" s="32"/>
      <c r="Z38" s="32"/>
      <c r="AA38" s="32"/>
      <c r="AB38" s="32"/>
      <c r="AC38" s="32"/>
      <c r="AD38" s="32"/>
      <c r="AE38" s="19"/>
      <c r="AF38" s="19"/>
      <c r="AG38" s="19"/>
      <c r="AH38" s="19"/>
      <c r="AI38" s="19"/>
      <c r="AJ38" s="37"/>
    </row>
    <row r="39" spans="2:36" s="38" customFormat="1" ht="15">
      <c r="B39" s="29"/>
      <c r="C39" s="244">
        <v>24.86</v>
      </c>
      <c r="D39" s="22" t="s">
        <v>43</v>
      </c>
      <c r="E39" s="23"/>
      <c r="F39" s="23"/>
      <c r="G39" s="23"/>
      <c r="H39" s="23"/>
      <c r="I39" s="23"/>
      <c r="J39" s="24"/>
      <c r="K39" s="23"/>
      <c r="L39" s="23"/>
      <c r="M39" s="23"/>
      <c r="N39" s="23"/>
      <c r="O39" s="245"/>
      <c r="P39" s="246">
        <v>268</v>
      </c>
      <c r="Q39" s="25"/>
      <c r="R39" s="32"/>
      <c r="S39" s="32"/>
      <c r="T39" s="32"/>
      <c r="U39" s="32"/>
      <c r="V39" s="32"/>
      <c r="W39" s="32"/>
      <c r="X39" s="92"/>
      <c r="Y39" s="32"/>
      <c r="Z39" s="32"/>
      <c r="AA39" s="32"/>
      <c r="AB39" s="32"/>
      <c r="AC39" s="32"/>
      <c r="AD39" s="32"/>
      <c r="AE39" s="19"/>
      <c r="AF39" s="19"/>
      <c r="AG39" s="19"/>
      <c r="AH39" s="19"/>
      <c r="AI39" s="19"/>
      <c r="AJ39" s="37"/>
    </row>
    <row r="40" spans="2:36" ht="12">
      <c r="B40" s="26"/>
      <c r="C40" s="247">
        <v>14.82</v>
      </c>
      <c r="D40" s="26" t="s">
        <v>169</v>
      </c>
      <c r="O40" s="230"/>
      <c r="P40" s="230" t="s">
        <v>168</v>
      </c>
      <c r="Q40" s="28"/>
      <c r="R40" s="21"/>
      <c r="S40" s="21"/>
      <c r="T40" s="21"/>
      <c r="U40" s="21"/>
      <c r="V40" s="21"/>
      <c r="W40" s="21"/>
      <c r="X40" s="119"/>
      <c r="Y40" s="21"/>
      <c r="Z40" s="21"/>
      <c r="AA40" s="21"/>
      <c r="AB40" s="21"/>
      <c r="AD40" s="21"/>
      <c r="AE40" s="19"/>
      <c r="AJ40" s="28"/>
    </row>
    <row r="41" spans="2:36" ht="12.75">
      <c r="B41" s="26"/>
      <c r="C41" s="247">
        <v>9.8000000000000007</v>
      </c>
      <c r="D41" s="26" t="s">
        <v>75</v>
      </c>
      <c r="M41" s="677"/>
      <c r="N41" s="677"/>
      <c r="O41" s="230"/>
      <c r="P41" s="230" t="s">
        <v>167</v>
      </c>
      <c r="Q41" s="28"/>
      <c r="R41" s="120"/>
      <c r="X41" s="19"/>
      <c r="AC41" s="19"/>
      <c r="AE41" s="19"/>
      <c r="AJ41" s="28"/>
    </row>
    <row r="42" spans="2:36" ht="12.75">
      <c r="B42" s="26"/>
      <c r="C42" s="247">
        <v>32.74</v>
      </c>
      <c r="D42" s="26" t="s">
        <v>75</v>
      </c>
      <c r="P42" s="230">
        <v>15</v>
      </c>
      <c r="Q42" s="28"/>
      <c r="R42" s="120"/>
      <c r="X42" s="19"/>
      <c r="AC42" s="19"/>
      <c r="AE42" s="19"/>
      <c r="AJ42" s="28"/>
    </row>
    <row r="43" spans="2:36" ht="12.75">
      <c r="B43" s="26"/>
      <c r="C43" s="247">
        <v>32.54</v>
      </c>
      <c r="D43" s="26" t="s">
        <v>75</v>
      </c>
      <c r="P43" s="230">
        <v>16</v>
      </c>
      <c r="Q43" s="28"/>
      <c r="R43" s="120"/>
      <c r="X43" s="19"/>
      <c r="AC43" s="19"/>
      <c r="AE43" s="19"/>
      <c r="AJ43" s="28"/>
    </row>
    <row r="44" spans="2:36" ht="15" thickBot="1">
      <c r="B44" s="26"/>
      <c r="C44" s="248"/>
      <c r="D44" s="125" t="s">
        <v>75</v>
      </c>
      <c r="E44" s="127"/>
      <c r="F44" s="127"/>
      <c r="G44" s="127"/>
      <c r="H44" s="127"/>
      <c r="I44" s="127"/>
      <c r="J44" s="128"/>
      <c r="K44" s="127"/>
      <c r="L44" s="127"/>
      <c r="M44" s="127"/>
      <c r="N44" s="127"/>
      <c r="O44" s="129"/>
      <c r="P44" s="249">
        <v>17</v>
      </c>
      <c r="Q44" s="131"/>
      <c r="R44" s="120"/>
      <c r="T44" s="31" t="s">
        <v>20</v>
      </c>
      <c r="X44" s="121" t="s">
        <v>44</v>
      </c>
      <c r="AC44" s="19"/>
      <c r="AE44" s="19"/>
      <c r="AJ44" s="28"/>
    </row>
    <row r="45" spans="2:36" ht="13.5" thickBot="1">
      <c r="B45" s="26"/>
      <c r="C45" s="250">
        <f>SUM(C39:C44)</f>
        <v>114.75999999999999</v>
      </c>
      <c r="D45" s="251" t="s">
        <v>45</v>
      </c>
      <c r="E45" s="252"/>
      <c r="F45" s="252"/>
      <c r="G45" s="252"/>
      <c r="H45" s="252"/>
      <c r="I45" s="252"/>
      <c r="J45" s="253"/>
      <c r="K45" s="252"/>
      <c r="L45" s="252"/>
      <c r="M45" s="252"/>
      <c r="N45" s="252"/>
      <c r="O45" s="252"/>
      <c r="P45" s="252"/>
      <c r="Q45" s="254"/>
      <c r="R45" s="120"/>
      <c r="S45" s="678">
        <f>C45</f>
        <v>114.75999999999999</v>
      </c>
      <c r="T45" s="679"/>
      <c r="U45" s="680"/>
      <c r="V45" s="681" t="s">
        <v>46</v>
      </c>
      <c r="W45" s="682"/>
      <c r="X45" s="682"/>
      <c r="Y45" s="682"/>
      <c r="Z45" s="682"/>
      <c r="AA45" s="682"/>
      <c r="AB45" s="682"/>
      <c r="AC45" s="682"/>
      <c r="AD45" s="682"/>
      <c r="AE45" s="683"/>
      <c r="AJ45" s="28"/>
    </row>
    <row r="46" spans="2:36" ht="13.5" thickBot="1">
      <c r="B46" s="26"/>
      <c r="C46" s="122"/>
      <c r="D46" s="19"/>
      <c r="Q46" s="19"/>
      <c r="R46" s="120"/>
      <c r="S46" s="684">
        <f>C49</f>
        <v>107.44</v>
      </c>
      <c r="T46" s="685"/>
      <c r="U46" s="686"/>
      <c r="V46" s="656" t="s">
        <v>47</v>
      </c>
      <c r="W46" s="657"/>
      <c r="X46" s="657"/>
      <c r="Y46" s="657"/>
      <c r="Z46" s="657"/>
      <c r="AA46" s="657"/>
      <c r="AB46" s="657"/>
      <c r="AC46" s="657"/>
      <c r="AD46" s="657"/>
      <c r="AE46" s="658"/>
      <c r="AJ46" s="28"/>
    </row>
    <row r="47" spans="2:36" ht="12.75">
      <c r="B47" s="26"/>
      <c r="C47" s="255">
        <v>100.6</v>
      </c>
      <c r="D47" s="23" t="s">
        <v>48</v>
      </c>
      <c r="E47" s="23"/>
      <c r="F47" s="23"/>
      <c r="G47" s="23"/>
      <c r="H47" s="23"/>
      <c r="I47" s="23"/>
      <c r="J47" s="24"/>
      <c r="K47" s="23"/>
      <c r="L47" s="23"/>
      <c r="M47" s="23"/>
      <c r="N47" s="23"/>
      <c r="O47" s="245"/>
      <c r="P47" s="23"/>
      <c r="Q47" s="25"/>
      <c r="R47" s="120"/>
      <c r="S47" s="653">
        <v>2</v>
      </c>
      <c r="T47" s="654"/>
      <c r="U47" s="655"/>
      <c r="V47" s="656" t="s">
        <v>49</v>
      </c>
      <c r="W47" s="657"/>
      <c r="X47" s="657"/>
      <c r="Y47" s="657"/>
      <c r="Z47" s="657"/>
      <c r="AA47" s="657"/>
      <c r="AB47" s="657"/>
      <c r="AC47" s="657"/>
      <c r="AD47" s="657"/>
      <c r="AE47" s="658"/>
      <c r="AJ47" s="28"/>
    </row>
    <row r="48" spans="2:36" ht="13.5" thickBot="1">
      <c r="B48" s="26"/>
      <c r="C48" s="256">
        <v>6.84</v>
      </c>
      <c r="D48" s="127" t="s">
        <v>50</v>
      </c>
      <c r="E48" s="127"/>
      <c r="F48" s="127"/>
      <c r="G48" s="127"/>
      <c r="H48" s="127"/>
      <c r="I48" s="127"/>
      <c r="J48" s="128"/>
      <c r="K48" s="127"/>
      <c r="L48" s="127"/>
      <c r="M48" s="127"/>
      <c r="N48" s="127"/>
      <c r="O48" s="129"/>
      <c r="P48" s="127"/>
      <c r="Q48" s="131"/>
      <c r="R48" s="120"/>
      <c r="S48" s="659">
        <f>S45-S46-S47</f>
        <v>5.3199999999999932</v>
      </c>
      <c r="T48" s="660"/>
      <c r="U48" s="661"/>
      <c r="V48" s="662" t="s">
        <v>51</v>
      </c>
      <c r="W48" s="663"/>
      <c r="X48" s="663"/>
      <c r="Y48" s="663"/>
      <c r="Z48" s="663"/>
      <c r="AA48" s="663"/>
      <c r="AB48" s="663"/>
      <c r="AC48" s="663"/>
      <c r="AD48" s="663"/>
      <c r="AE48" s="664"/>
      <c r="AJ48" s="28"/>
    </row>
    <row r="49" spans="2:36" ht="13.5" thickBot="1">
      <c r="B49" s="26"/>
      <c r="C49" s="257">
        <f>C47+C48</f>
        <v>107.44</v>
      </c>
      <c r="D49" s="258" t="s">
        <v>52</v>
      </c>
      <c r="E49" s="258"/>
      <c r="F49" s="258"/>
      <c r="G49" s="258"/>
      <c r="H49" s="258"/>
      <c r="I49" s="258"/>
      <c r="J49" s="259"/>
      <c r="K49" s="258"/>
      <c r="L49" s="258"/>
      <c r="M49" s="258"/>
      <c r="N49" s="258"/>
      <c r="O49" s="258"/>
      <c r="P49" s="258"/>
      <c r="Q49" s="260"/>
      <c r="R49" s="120"/>
      <c r="S49" s="665">
        <f>AF37</f>
        <v>5.6639999999999997</v>
      </c>
      <c r="T49" s="666"/>
      <c r="U49" s="667"/>
      <c r="V49" s="668" t="s">
        <v>53</v>
      </c>
      <c r="W49" s="669"/>
      <c r="X49" s="669"/>
      <c r="Y49" s="669"/>
      <c r="Z49" s="669"/>
      <c r="AA49" s="669"/>
      <c r="AB49" s="669"/>
      <c r="AC49" s="669"/>
      <c r="AD49" s="669"/>
      <c r="AE49" s="670"/>
      <c r="AJ49" s="28"/>
    </row>
    <row r="50" spans="2:36" ht="13.5" thickBot="1">
      <c r="B50" s="26"/>
      <c r="C50" s="123"/>
      <c r="D50" s="19"/>
      <c r="Q50" s="19"/>
      <c r="R50" s="120"/>
      <c r="S50" s="647">
        <f>S49-S48</f>
        <v>0.34400000000000652</v>
      </c>
      <c r="T50" s="648"/>
      <c r="U50" s="649"/>
      <c r="V50" s="650" t="s">
        <v>54</v>
      </c>
      <c r="W50" s="651"/>
      <c r="X50" s="651"/>
      <c r="Y50" s="651"/>
      <c r="Z50" s="651"/>
      <c r="AA50" s="651"/>
      <c r="AB50" s="651"/>
      <c r="AC50" s="651"/>
      <c r="AD50" s="651"/>
      <c r="AE50" s="652"/>
      <c r="AJ50" s="28"/>
    </row>
    <row r="51" spans="2:36" ht="12.75">
      <c r="B51" s="26"/>
      <c r="C51" s="123"/>
      <c r="D51" s="19"/>
      <c r="Q51" s="19"/>
      <c r="R51" s="120"/>
      <c r="T51" s="20"/>
      <c r="X51" s="124" t="s">
        <v>55</v>
      </c>
      <c r="AB51" s="21"/>
      <c r="AC51" s="19"/>
      <c r="AD51" s="20"/>
      <c r="AE51" s="19"/>
      <c r="AJ51" s="28"/>
    </row>
    <row r="52" spans="2:36" ht="13.5" thickBot="1">
      <c r="B52" s="26"/>
      <c r="C52" s="123"/>
      <c r="D52" s="19"/>
      <c r="Q52" s="19"/>
      <c r="R52" s="120"/>
      <c r="X52" s="19"/>
      <c r="AC52" s="19"/>
      <c r="AE52" s="19"/>
      <c r="AJ52" s="28"/>
    </row>
    <row r="53" spans="2:36" ht="13.5" thickBot="1">
      <c r="B53" s="26"/>
      <c r="C53" s="123"/>
      <c r="D53" s="19"/>
      <c r="Q53" s="19"/>
      <c r="R53" s="120"/>
      <c r="S53" s="671">
        <f>S47-(S50)</f>
        <v>1.6559999999999935</v>
      </c>
      <c r="T53" s="672"/>
      <c r="U53" s="673"/>
      <c r="V53" s="674" t="s">
        <v>115</v>
      </c>
      <c r="W53" s="675"/>
      <c r="X53" s="675" t="s">
        <v>114</v>
      </c>
      <c r="Y53" s="675"/>
      <c r="Z53" s="675"/>
      <c r="AA53" s="675"/>
      <c r="AB53" s="675"/>
      <c r="AC53" s="675"/>
      <c r="AD53" s="675"/>
      <c r="AE53" s="676"/>
      <c r="AJ53" s="28"/>
    </row>
    <row r="54" spans="2:36" ht="7.5" customHeight="1" thickBot="1">
      <c r="B54" s="125"/>
      <c r="C54" s="126"/>
      <c r="D54" s="127"/>
      <c r="E54" s="127"/>
      <c r="F54" s="127"/>
      <c r="G54" s="127"/>
      <c r="H54" s="127"/>
      <c r="I54" s="127"/>
      <c r="J54" s="128"/>
      <c r="K54" s="127"/>
      <c r="L54" s="127"/>
      <c r="M54" s="127"/>
      <c r="N54" s="127"/>
      <c r="O54" s="129"/>
      <c r="P54" s="127"/>
      <c r="Q54" s="127"/>
      <c r="R54" s="130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  <c r="AE54" s="127"/>
      <c r="AF54" s="127"/>
      <c r="AG54" s="127"/>
      <c r="AH54" s="127"/>
      <c r="AI54" s="127"/>
      <c r="AJ54" s="131"/>
    </row>
    <row r="55" spans="2:36" ht="12.75">
      <c r="C55" s="123"/>
      <c r="D55" s="19"/>
      <c r="Q55" s="19"/>
      <c r="R55" s="120"/>
      <c r="X55" s="19"/>
      <c r="AC55" s="19"/>
      <c r="AD55" s="120"/>
      <c r="AE55" s="19"/>
    </row>
    <row r="56" spans="2:36" ht="12.75">
      <c r="D56" s="19"/>
      <c r="J56" s="19"/>
      <c r="O56" s="19"/>
      <c r="Q56" s="19"/>
      <c r="R56" s="120"/>
      <c r="X56" s="120"/>
      <c r="Y56" s="120"/>
      <c r="Z56" s="120"/>
      <c r="AA56" s="120"/>
      <c r="AB56" s="120"/>
      <c r="AC56" s="120"/>
      <c r="AD56" s="120"/>
      <c r="AE56" s="19"/>
    </row>
    <row r="57" spans="2:36" ht="12.75">
      <c r="D57" s="19"/>
      <c r="J57" s="19"/>
      <c r="O57" s="19"/>
      <c r="Q57" s="19"/>
      <c r="R57" s="120"/>
      <c r="X57" s="120"/>
      <c r="Y57" s="120"/>
      <c r="Z57" s="120"/>
      <c r="AA57" s="120"/>
      <c r="AB57" s="120"/>
      <c r="AC57" s="120"/>
      <c r="AD57" s="120"/>
      <c r="AE57" s="19"/>
    </row>
    <row r="58" spans="2:36" ht="12.75">
      <c r="D58" s="19"/>
      <c r="J58" s="19"/>
      <c r="O58" s="19"/>
      <c r="Q58" s="19"/>
      <c r="R58" s="120"/>
      <c r="X58" s="120"/>
      <c r="Y58" s="120"/>
      <c r="Z58" s="120"/>
      <c r="AA58" s="120"/>
      <c r="AB58" s="120"/>
      <c r="AC58" s="120"/>
      <c r="AD58" s="120"/>
    </row>
    <row r="59" spans="2:36" ht="12.75">
      <c r="D59" s="19"/>
      <c r="J59" s="19"/>
      <c r="O59" s="19"/>
      <c r="Q59" s="19"/>
      <c r="R59" s="120"/>
      <c r="X59" s="120"/>
      <c r="Y59" s="120"/>
      <c r="Z59" s="120"/>
      <c r="AA59" s="120"/>
      <c r="AB59" s="120"/>
      <c r="AC59" s="120"/>
      <c r="AD59" s="120"/>
    </row>
    <row r="60" spans="2:36" ht="12.75">
      <c r="D60" s="19"/>
      <c r="J60" s="19"/>
      <c r="O60" s="19"/>
      <c r="Q60" s="19"/>
      <c r="R60" s="120"/>
      <c r="X60" s="120"/>
      <c r="Y60" s="120"/>
      <c r="Z60" s="120"/>
      <c r="AA60" s="120"/>
      <c r="AB60" s="120"/>
      <c r="AC60" s="120"/>
      <c r="AD60" s="120"/>
    </row>
    <row r="61" spans="2:36" ht="12.75">
      <c r="O61" s="19"/>
      <c r="X61" s="120"/>
      <c r="Y61" s="120"/>
      <c r="Z61" s="120"/>
      <c r="AA61" s="120"/>
      <c r="AB61" s="120"/>
      <c r="AC61" s="120"/>
      <c r="AD61" s="120"/>
    </row>
    <row r="62" spans="2:36" ht="12.75">
      <c r="O62" s="19"/>
      <c r="X62" s="120"/>
      <c r="Y62" s="120"/>
      <c r="Z62" s="120"/>
      <c r="AA62" s="120"/>
      <c r="AB62" s="120"/>
      <c r="AC62" s="120"/>
      <c r="AD62" s="120"/>
    </row>
    <row r="63" spans="2:36" ht="12.75">
      <c r="O63" s="19"/>
      <c r="X63" s="120"/>
      <c r="Y63" s="120"/>
      <c r="Z63" s="120"/>
      <c r="AA63" s="120"/>
      <c r="AB63" s="120"/>
      <c r="AC63" s="120"/>
      <c r="AD63" s="120"/>
      <c r="AE63" s="120"/>
    </row>
    <row r="64" spans="2:36" ht="12.75">
      <c r="O64" s="19"/>
      <c r="X64" s="120"/>
      <c r="Y64" s="120"/>
      <c r="Z64" s="120"/>
      <c r="AA64" s="120"/>
      <c r="AB64" s="120"/>
      <c r="AC64" s="120"/>
      <c r="AD64" s="120"/>
      <c r="AE64" s="120"/>
    </row>
    <row r="65" spans="15:31" ht="12.75">
      <c r="O65" s="19"/>
      <c r="X65" s="120"/>
      <c r="Y65" s="120"/>
      <c r="Z65" s="120"/>
      <c r="AA65" s="120"/>
      <c r="AB65" s="120"/>
      <c r="AC65" s="120"/>
      <c r="AD65" s="120"/>
      <c r="AE65" s="120"/>
    </row>
    <row r="66" spans="15:31" ht="12.75">
      <c r="O66" s="19"/>
      <c r="X66" s="120"/>
      <c r="Y66" s="120"/>
      <c r="Z66" s="120"/>
      <c r="AA66" s="120"/>
      <c r="AB66" s="120"/>
      <c r="AC66" s="120"/>
      <c r="AD66" s="120"/>
      <c r="AE66" s="120"/>
    </row>
    <row r="67" spans="15:31" ht="12.75">
      <c r="O67" s="19"/>
      <c r="X67" s="120"/>
      <c r="Y67" s="120"/>
      <c r="Z67" s="120"/>
      <c r="AA67" s="120"/>
      <c r="AB67" s="120"/>
      <c r="AC67" s="120"/>
      <c r="AD67" s="120"/>
      <c r="AE67" s="120"/>
    </row>
    <row r="68" spans="15:31" ht="12.75">
      <c r="O68" s="19"/>
      <c r="X68" s="120"/>
      <c r="Y68" s="120"/>
      <c r="Z68" s="120"/>
      <c r="AA68" s="120"/>
      <c r="AB68" s="120"/>
      <c r="AC68" s="120"/>
      <c r="AD68" s="120"/>
      <c r="AE68" s="120"/>
    </row>
    <row r="69" spans="15:31" ht="12.75">
      <c r="O69" s="19"/>
      <c r="X69" s="120"/>
      <c r="Y69" s="120"/>
      <c r="Z69" s="120"/>
      <c r="AA69" s="120"/>
      <c r="AB69" s="120"/>
      <c r="AC69" s="120"/>
      <c r="AD69" s="120"/>
      <c r="AE69" s="120"/>
    </row>
    <row r="70" spans="15:31" ht="12.75">
      <c r="O70" s="19"/>
      <c r="X70" s="120"/>
      <c r="Y70" s="120"/>
      <c r="Z70" s="120"/>
      <c r="AA70" s="120"/>
      <c r="AB70" s="120"/>
      <c r="AC70" s="120"/>
      <c r="AD70" s="120"/>
      <c r="AE70" s="120"/>
    </row>
    <row r="71" spans="15:31" ht="12.75">
      <c r="O71" s="19"/>
      <c r="AA71" s="21"/>
      <c r="AC71" s="19"/>
      <c r="AE71" s="120"/>
    </row>
    <row r="72" spans="15:31" ht="12.75">
      <c r="O72" s="19"/>
      <c r="AA72" s="21"/>
      <c r="AE72" s="120"/>
    </row>
    <row r="73" spans="15:31" ht="12.75">
      <c r="O73" s="19"/>
      <c r="AA73" s="21"/>
      <c r="AC73" s="19"/>
      <c r="AE73" s="120"/>
    </row>
    <row r="74" spans="15:31" ht="12.75">
      <c r="O74" s="19"/>
      <c r="AC74" s="19"/>
      <c r="AE74" s="120"/>
    </row>
    <row r="75" spans="15:31" ht="12.75">
      <c r="O75" s="19"/>
      <c r="AC75" s="19"/>
      <c r="AE75" s="120"/>
    </row>
    <row r="76" spans="15:31" ht="12.75">
      <c r="O76" s="19"/>
      <c r="AC76" s="19"/>
      <c r="AD76" s="132"/>
      <c r="AE76" s="120"/>
    </row>
    <row r="77" spans="15:31" ht="12.75">
      <c r="O77" s="19"/>
      <c r="AC77" s="19"/>
      <c r="AD77" s="132"/>
      <c r="AE77" s="120"/>
    </row>
    <row r="78" spans="15:31" ht="12.75">
      <c r="O78" s="19"/>
      <c r="AC78" s="19"/>
      <c r="AD78" s="132"/>
      <c r="AE78" s="120"/>
    </row>
    <row r="79" spans="15:31" ht="12.75">
      <c r="O79" s="19"/>
      <c r="AC79" s="19"/>
      <c r="AD79" s="132"/>
      <c r="AE79" s="132"/>
    </row>
    <row r="80" spans="15:31" ht="12.75">
      <c r="O80" s="19"/>
      <c r="AC80" s="19"/>
      <c r="AD80" s="132"/>
    </row>
    <row r="81" spans="15:30" ht="12.75">
      <c r="O81" s="19"/>
      <c r="AC81" s="19"/>
      <c r="AD81" s="132"/>
    </row>
    <row r="82" spans="15:30" ht="12.75">
      <c r="O82" s="19"/>
      <c r="AC82" s="19"/>
      <c r="AD82" s="132"/>
    </row>
    <row r="83" spans="15:30" ht="12.75">
      <c r="O83" s="19"/>
      <c r="AC83" s="19"/>
      <c r="AD83" s="132"/>
    </row>
    <row r="84" spans="15:30" ht="12.75">
      <c r="O84" s="19"/>
      <c r="AC84" s="19"/>
      <c r="AD84" s="132"/>
    </row>
    <row r="85" spans="15:30" ht="12.75">
      <c r="O85" s="19"/>
      <c r="AC85" s="19"/>
      <c r="AD85" s="132"/>
    </row>
    <row r="86" spans="15:30" ht="12.75">
      <c r="O86" s="19"/>
      <c r="AC86" s="19"/>
      <c r="AD86" s="132"/>
    </row>
    <row r="87" spans="15:30" ht="12.75">
      <c r="O87" s="19"/>
      <c r="AC87" s="19"/>
      <c r="AD87" s="132"/>
    </row>
    <row r="88" spans="15:30" ht="12.75">
      <c r="O88" s="19"/>
      <c r="AC88" s="19"/>
      <c r="AD88" s="132"/>
    </row>
    <row r="89" spans="15:30" ht="12.75">
      <c r="O89" s="19"/>
      <c r="AC89" s="19"/>
      <c r="AD89" s="132"/>
    </row>
    <row r="90" spans="15:30" ht="12.75">
      <c r="O90" s="19"/>
      <c r="AC90" s="19"/>
      <c r="AD90" s="132"/>
    </row>
    <row r="91" spans="15:30" ht="12.75">
      <c r="O91" s="19"/>
      <c r="AC91" s="19"/>
      <c r="AD91" s="132"/>
    </row>
    <row r="92" spans="15:30" ht="12.75">
      <c r="O92" s="19"/>
      <c r="AC92" s="19"/>
      <c r="AD92" s="132"/>
    </row>
    <row r="93" spans="15:30">
      <c r="O93" s="19"/>
      <c r="AC93" s="19"/>
    </row>
    <row r="94" spans="15:30">
      <c r="O94" s="19"/>
      <c r="AC94" s="19"/>
    </row>
    <row r="95" spans="15:30">
      <c r="O95" s="19"/>
      <c r="AC95" s="19"/>
    </row>
    <row r="96" spans="15:30">
      <c r="O96" s="19"/>
      <c r="AC96" s="19"/>
    </row>
    <row r="97" spans="15:29">
      <c r="O97" s="19"/>
      <c r="AC97" s="19"/>
    </row>
    <row r="98" spans="15:29">
      <c r="O98" s="19"/>
      <c r="AC98" s="19"/>
    </row>
    <row r="99" spans="15:29">
      <c r="O99" s="19"/>
      <c r="AC99" s="19"/>
    </row>
    <row r="100" spans="15:29">
      <c r="O100" s="19"/>
      <c r="AC100" s="19"/>
    </row>
    <row r="101" spans="15:29">
      <c r="O101" s="19"/>
      <c r="AC101" s="19"/>
    </row>
    <row r="102" spans="15:29">
      <c r="O102" s="19"/>
      <c r="AC102" s="19"/>
    </row>
    <row r="103" spans="15:29">
      <c r="O103" s="19"/>
      <c r="AC103" s="19"/>
    </row>
    <row r="104" spans="15:29">
      <c r="O104" s="19"/>
      <c r="AC104" s="19"/>
    </row>
    <row r="105" spans="15:29">
      <c r="O105" s="19"/>
      <c r="AC105" s="19"/>
    </row>
    <row r="106" spans="15:29">
      <c r="O106" s="19"/>
      <c r="AC106" s="19"/>
    </row>
    <row r="107" spans="15:29">
      <c r="O107" s="19"/>
      <c r="AC107" s="19"/>
    </row>
    <row r="108" spans="15:29">
      <c r="O108" s="19"/>
      <c r="AC108" s="19"/>
    </row>
    <row r="109" spans="15:29">
      <c r="O109" s="19"/>
      <c r="AC109" s="19"/>
    </row>
    <row r="110" spans="15:29">
      <c r="O110" s="19"/>
      <c r="AC110" s="19"/>
    </row>
    <row r="111" spans="15:29">
      <c r="O111" s="19"/>
      <c r="AC111" s="19"/>
    </row>
    <row r="112" spans="15:29">
      <c r="O112" s="19"/>
      <c r="AC112" s="19"/>
    </row>
    <row r="113" spans="15:29">
      <c r="O113" s="19"/>
      <c r="AC113" s="19"/>
    </row>
    <row r="114" spans="15:29">
      <c r="O114" s="19"/>
      <c r="AC114" s="19"/>
    </row>
    <row r="115" spans="15:29">
      <c r="O115" s="19"/>
      <c r="AC115" s="19"/>
    </row>
    <row r="116" spans="15:29">
      <c r="O116" s="19"/>
      <c r="AC116" s="19"/>
    </row>
    <row r="117" spans="15:29">
      <c r="O117" s="19"/>
      <c r="AC117" s="19"/>
    </row>
    <row r="118" spans="15:29">
      <c r="O118" s="19"/>
      <c r="AC118" s="19"/>
    </row>
    <row r="119" spans="15:29">
      <c r="O119" s="19"/>
      <c r="AC119" s="19"/>
    </row>
    <row r="120" spans="15:29">
      <c r="O120" s="19"/>
      <c r="AC120" s="19"/>
    </row>
    <row r="121" spans="15:29">
      <c r="O121" s="19"/>
      <c r="AC121" s="19"/>
    </row>
    <row r="122" spans="15:29">
      <c r="O122" s="19"/>
      <c r="AC122" s="19"/>
    </row>
    <row r="123" spans="15:29">
      <c r="O123" s="19"/>
      <c r="AC123" s="19"/>
    </row>
    <row r="124" spans="15:29">
      <c r="O124" s="19"/>
      <c r="AC124" s="19"/>
    </row>
    <row r="125" spans="15:29">
      <c r="O125" s="19"/>
      <c r="AC125" s="19"/>
    </row>
    <row r="126" spans="15:29">
      <c r="O126" s="19"/>
      <c r="AC126" s="19"/>
    </row>
    <row r="127" spans="15:29">
      <c r="O127" s="19"/>
      <c r="AC127" s="19"/>
    </row>
    <row r="128" spans="15:29">
      <c r="O128" s="19"/>
      <c r="AC128" s="19"/>
    </row>
    <row r="129" spans="15:29">
      <c r="O129" s="19"/>
      <c r="AC129" s="19"/>
    </row>
    <row r="130" spans="15:29">
      <c r="O130" s="19"/>
      <c r="AC130" s="19"/>
    </row>
    <row r="131" spans="15:29">
      <c r="O131" s="19"/>
      <c r="AC131" s="19"/>
    </row>
    <row r="132" spans="15:29">
      <c r="O132" s="19"/>
      <c r="AC132" s="19"/>
    </row>
    <row r="133" spans="15:29">
      <c r="O133" s="19"/>
      <c r="AC133" s="19"/>
    </row>
    <row r="134" spans="15:29">
      <c r="O134" s="19"/>
      <c r="AC134" s="19"/>
    </row>
    <row r="135" spans="15:29">
      <c r="O135" s="19"/>
      <c r="AC135" s="19"/>
    </row>
    <row r="136" spans="15:29">
      <c r="O136" s="19"/>
      <c r="AC136" s="19"/>
    </row>
    <row r="137" spans="15:29">
      <c r="O137" s="19"/>
      <c r="AC137" s="19"/>
    </row>
    <row r="138" spans="15:29">
      <c r="O138" s="19"/>
      <c r="AC138" s="19"/>
    </row>
    <row r="139" spans="15:29">
      <c r="O139" s="19"/>
      <c r="AC139" s="19"/>
    </row>
    <row r="140" spans="15:29">
      <c r="O140" s="19"/>
      <c r="AC140" s="19"/>
    </row>
    <row r="141" spans="15:29">
      <c r="O141" s="19"/>
      <c r="AC141" s="19"/>
    </row>
    <row r="142" spans="15:29">
      <c r="O142" s="19"/>
      <c r="AC142" s="19"/>
    </row>
    <row r="143" spans="15:29">
      <c r="O143" s="19"/>
      <c r="AC143" s="19"/>
    </row>
    <row r="144" spans="15:29">
      <c r="O144" s="19"/>
      <c r="AC144" s="19"/>
    </row>
    <row r="145" spans="15:29">
      <c r="O145" s="19"/>
      <c r="AC145" s="19"/>
    </row>
    <row r="146" spans="15:29">
      <c r="O146" s="19"/>
      <c r="AC146" s="19"/>
    </row>
    <row r="147" spans="15:29">
      <c r="O147" s="19"/>
      <c r="AC147" s="19"/>
    </row>
    <row r="148" spans="15:29">
      <c r="O148" s="19"/>
      <c r="AC148" s="19"/>
    </row>
    <row r="149" spans="15:29">
      <c r="O149" s="19"/>
      <c r="AC149" s="19"/>
    </row>
    <row r="150" spans="15:29">
      <c r="O150" s="19"/>
      <c r="AC150" s="19"/>
    </row>
    <row r="151" spans="15:29">
      <c r="O151" s="19"/>
      <c r="AC151" s="19"/>
    </row>
    <row r="152" spans="15:29">
      <c r="O152" s="19"/>
      <c r="AC152" s="19"/>
    </row>
    <row r="153" spans="15:29">
      <c r="O153" s="19"/>
      <c r="AC153" s="19"/>
    </row>
    <row r="154" spans="15:29">
      <c r="O154" s="19"/>
      <c r="AC154" s="19"/>
    </row>
    <row r="155" spans="15:29">
      <c r="O155" s="19"/>
      <c r="AC155" s="19"/>
    </row>
    <row r="156" spans="15:29">
      <c r="O156" s="19"/>
      <c r="AC156" s="19"/>
    </row>
    <row r="157" spans="15:29">
      <c r="O157" s="19"/>
      <c r="AC157" s="19"/>
    </row>
    <row r="158" spans="15:29">
      <c r="O158" s="19"/>
      <c r="AC158" s="19"/>
    </row>
    <row r="159" spans="15:29">
      <c r="O159" s="19"/>
      <c r="AC159" s="19"/>
    </row>
    <row r="160" spans="15:29">
      <c r="O160" s="19"/>
      <c r="AC160" s="19"/>
    </row>
    <row r="161" spans="15:29">
      <c r="O161" s="19"/>
      <c r="AC161" s="19"/>
    </row>
    <row r="162" spans="15:29">
      <c r="O162" s="19"/>
      <c r="AC162" s="19"/>
    </row>
    <row r="163" spans="15:29">
      <c r="O163" s="19"/>
      <c r="AC163" s="19"/>
    </row>
    <row r="164" spans="15:29">
      <c r="O164" s="19"/>
      <c r="AC164" s="19"/>
    </row>
    <row r="165" spans="15:29">
      <c r="O165" s="19"/>
      <c r="AC165" s="19"/>
    </row>
    <row r="166" spans="15:29">
      <c r="O166" s="19"/>
      <c r="AC166" s="19"/>
    </row>
    <row r="167" spans="15:29">
      <c r="O167" s="19"/>
      <c r="AC167" s="19"/>
    </row>
    <row r="168" spans="15:29">
      <c r="O168" s="19"/>
      <c r="AC168" s="19"/>
    </row>
    <row r="169" spans="15:29">
      <c r="O169" s="19"/>
      <c r="AC169" s="19"/>
    </row>
    <row r="170" spans="15:29">
      <c r="O170" s="19"/>
      <c r="AC170" s="19"/>
    </row>
    <row r="171" spans="15:29">
      <c r="O171" s="19"/>
      <c r="AC171" s="19"/>
    </row>
    <row r="172" spans="15:29">
      <c r="O172" s="19"/>
      <c r="AC172" s="19"/>
    </row>
    <row r="173" spans="15:29">
      <c r="O173" s="19"/>
      <c r="AC173" s="19"/>
    </row>
    <row r="174" spans="15:29">
      <c r="O174" s="19"/>
      <c r="AC174" s="19"/>
    </row>
    <row r="175" spans="15:29">
      <c r="O175" s="19"/>
      <c r="AC175" s="19"/>
    </row>
    <row r="176" spans="15:29">
      <c r="O176" s="19"/>
      <c r="AC176" s="19"/>
    </row>
    <row r="177" spans="15:29">
      <c r="O177" s="19"/>
      <c r="AC177" s="19"/>
    </row>
    <row r="178" spans="15:29">
      <c r="O178" s="19"/>
      <c r="AC178" s="19"/>
    </row>
    <row r="179" spans="15:29">
      <c r="O179" s="19"/>
      <c r="AC179" s="19"/>
    </row>
    <row r="180" spans="15:29">
      <c r="O180" s="19"/>
      <c r="AC180" s="19"/>
    </row>
    <row r="181" spans="15:29">
      <c r="O181" s="19"/>
      <c r="AC181" s="19"/>
    </row>
    <row r="182" spans="15:29">
      <c r="O182" s="19"/>
      <c r="AC182" s="19"/>
    </row>
    <row r="183" spans="15:29">
      <c r="O183" s="19"/>
      <c r="AC183" s="19"/>
    </row>
    <row r="184" spans="15:29">
      <c r="O184" s="19"/>
      <c r="AC184" s="19"/>
    </row>
    <row r="185" spans="15:29">
      <c r="O185" s="19"/>
      <c r="AC185" s="19"/>
    </row>
    <row r="186" spans="15:29">
      <c r="O186" s="19"/>
      <c r="AC186" s="19"/>
    </row>
    <row r="187" spans="15:29">
      <c r="O187" s="19"/>
      <c r="AC187" s="19"/>
    </row>
    <row r="188" spans="15:29">
      <c r="O188" s="19"/>
      <c r="AC188" s="19"/>
    </row>
    <row r="189" spans="15:29">
      <c r="O189" s="19"/>
      <c r="AC189" s="19"/>
    </row>
    <row r="190" spans="15:29">
      <c r="O190" s="19"/>
      <c r="AC190" s="19"/>
    </row>
    <row r="191" spans="15:29">
      <c r="O191" s="19"/>
      <c r="AC191" s="19"/>
    </row>
    <row r="192" spans="15:29">
      <c r="O192" s="19"/>
      <c r="AC192" s="19"/>
    </row>
    <row r="193" spans="15:29">
      <c r="O193" s="19"/>
      <c r="AC193" s="19"/>
    </row>
    <row r="194" spans="15:29">
      <c r="O194" s="19"/>
      <c r="AC194" s="19"/>
    </row>
    <row r="195" spans="15:29">
      <c r="O195" s="19"/>
      <c r="AC195" s="19"/>
    </row>
    <row r="196" spans="15:29">
      <c r="O196" s="19"/>
      <c r="AC196" s="19"/>
    </row>
    <row r="197" spans="15:29">
      <c r="O197" s="19"/>
      <c r="AC197" s="19"/>
    </row>
    <row r="198" spans="15:29">
      <c r="O198" s="19"/>
      <c r="AC198" s="19"/>
    </row>
    <row r="199" spans="15:29">
      <c r="O199" s="19"/>
      <c r="AC199" s="19"/>
    </row>
    <row r="200" spans="15:29">
      <c r="O200" s="19"/>
      <c r="AC200" s="19"/>
    </row>
    <row r="201" spans="15:29">
      <c r="O201" s="19"/>
      <c r="AC201" s="19"/>
    </row>
    <row r="202" spans="15:29">
      <c r="O202" s="19"/>
      <c r="AC202" s="19"/>
    </row>
    <row r="203" spans="15:29">
      <c r="O203" s="19"/>
      <c r="AC203" s="19"/>
    </row>
    <row r="204" spans="15:29">
      <c r="O204" s="19"/>
      <c r="AC204" s="19"/>
    </row>
    <row r="205" spans="15:29">
      <c r="O205" s="19"/>
      <c r="AC205" s="19"/>
    </row>
    <row r="206" spans="15:29">
      <c r="O206" s="19"/>
      <c r="AC206" s="19"/>
    </row>
    <row r="207" spans="15:29">
      <c r="O207" s="19"/>
      <c r="AC207" s="19"/>
    </row>
    <row r="208" spans="15:29">
      <c r="O208" s="19"/>
      <c r="AC208" s="19"/>
    </row>
    <row r="209" spans="15:29">
      <c r="O209" s="19"/>
      <c r="AC209" s="19"/>
    </row>
    <row r="210" spans="15:29">
      <c r="O210" s="19"/>
      <c r="AC210" s="19"/>
    </row>
    <row r="211" spans="15:29">
      <c r="O211" s="19"/>
      <c r="AC211" s="19"/>
    </row>
    <row r="212" spans="15:29">
      <c r="O212" s="19"/>
      <c r="AC212" s="19"/>
    </row>
    <row r="213" spans="15:29">
      <c r="O213" s="19"/>
      <c r="AC213" s="19"/>
    </row>
    <row r="214" spans="15:29">
      <c r="O214" s="19"/>
      <c r="AC214" s="19"/>
    </row>
    <row r="215" spans="15:29">
      <c r="O215" s="19"/>
      <c r="AC215" s="19"/>
    </row>
    <row r="216" spans="15:29">
      <c r="O216" s="19"/>
      <c r="AC216" s="19"/>
    </row>
    <row r="217" spans="15:29">
      <c r="O217" s="19"/>
      <c r="AC217" s="19"/>
    </row>
    <row r="218" spans="15:29">
      <c r="O218" s="19"/>
      <c r="AC218" s="19"/>
    </row>
    <row r="219" spans="15:29">
      <c r="O219" s="19"/>
      <c r="AC219" s="19"/>
    </row>
    <row r="220" spans="15:29">
      <c r="O220" s="19"/>
      <c r="AC220" s="19"/>
    </row>
    <row r="221" spans="15:29">
      <c r="O221" s="19"/>
      <c r="AC221" s="19"/>
    </row>
    <row r="222" spans="15:29">
      <c r="O222" s="19"/>
      <c r="AC222" s="19"/>
    </row>
    <row r="223" spans="15:29">
      <c r="O223" s="19"/>
      <c r="AC223" s="19"/>
    </row>
    <row r="224" spans="15:29">
      <c r="O224" s="19"/>
      <c r="AC224" s="19"/>
    </row>
    <row r="225" spans="15:29">
      <c r="O225" s="19"/>
      <c r="AC225" s="19"/>
    </row>
    <row r="226" spans="15:29">
      <c r="O226" s="19"/>
      <c r="AC226" s="19"/>
    </row>
    <row r="227" spans="15:29">
      <c r="O227" s="19"/>
      <c r="AC227" s="19"/>
    </row>
    <row r="228" spans="15:29">
      <c r="O228" s="19"/>
      <c r="AC228" s="19"/>
    </row>
    <row r="229" spans="15:29">
      <c r="O229" s="19"/>
      <c r="AC229" s="19"/>
    </row>
    <row r="230" spans="15:29">
      <c r="O230" s="19"/>
      <c r="AC230" s="19"/>
    </row>
    <row r="231" spans="15:29">
      <c r="O231" s="19"/>
      <c r="AC231" s="19"/>
    </row>
    <row r="232" spans="15:29">
      <c r="O232" s="19"/>
      <c r="AC232" s="19"/>
    </row>
    <row r="233" spans="15:29">
      <c r="O233" s="19"/>
      <c r="AC233" s="19"/>
    </row>
    <row r="234" spans="15:29">
      <c r="O234" s="19"/>
      <c r="AC234" s="19"/>
    </row>
    <row r="235" spans="15:29">
      <c r="O235" s="19"/>
      <c r="AC235" s="19"/>
    </row>
    <row r="236" spans="15:29">
      <c r="O236" s="19"/>
      <c r="AC236" s="19"/>
    </row>
    <row r="237" spans="15:29">
      <c r="O237" s="19"/>
      <c r="AC237" s="19"/>
    </row>
    <row r="238" spans="15:29">
      <c r="O238" s="19"/>
      <c r="AC238" s="19"/>
    </row>
    <row r="239" spans="15:29">
      <c r="O239" s="19"/>
      <c r="AC239" s="19"/>
    </row>
    <row r="240" spans="15:29">
      <c r="O240" s="19"/>
      <c r="AC240" s="19"/>
    </row>
    <row r="241" spans="15:29">
      <c r="O241" s="19"/>
      <c r="AC241" s="19"/>
    </row>
    <row r="242" spans="15:29">
      <c r="O242" s="19"/>
      <c r="AC242" s="19"/>
    </row>
    <row r="243" spans="15:29">
      <c r="O243" s="19"/>
      <c r="AC243" s="19"/>
    </row>
    <row r="244" spans="15:29">
      <c r="O244" s="19"/>
      <c r="AC244" s="19"/>
    </row>
    <row r="245" spans="15:29">
      <c r="O245" s="19"/>
      <c r="AC245" s="19"/>
    </row>
    <row r="246" spans="15:29">
      <c r="O246" s="19"/>
      <c r="AC246" s="19"/>
    </row>
    <row r="247" spans="15:29">
      <c r="O247" s="19"/>
      <c r="AC247" s="19"/>
    </row>
    <row r="248" spans="15:29">
      <c r="O248" s="19"/>
      <c r="AC248" s="19"/>
    </row>
    <row r="249" spans="15:29">
      <c r="O249" s="19"/>
      <c r="AC249" s="19"/>
    </row>
    <row r="250" spans="15:29">
      <c r="O250" s="19"/>
      <c r="AC250" s="19"/>
    </row>
    <row r="251" spans="15:29">
      <c r="O251" s="19"/>
      <c r="AC251" s="19"/>
    </row>
    <row r="252" spans="15:29">
      <c r="O252" s="19"/>
      <c r="AC252" s="19"/>
    </row>
    <row r="253" spans="15:29">
      <c r="O253" s="19"/>
      <c r="AC253" s="19"/>
    </row>
    <row r="254" spans="15:29">
      <c r="O254" s="19"/>
      <c r="AC254" s="19"/>
    </row>
    <row r="255" spans="15:29">
      <c r="O255" s="19"/>
      <c r="AC255" s="19"/>
    </row>
    <row r="256" spans="15:29">
      <c r="O256" s="19"/>
      <c r="AC256" s="19"/>
    </row>
    <row r="257" spans="15:29">
      <c r="O257" s="19"/>
      <c r="AC257" s="19"/>
    </row>
    <row r="258" spans="15:29">
      <c r="O258" s="19"/>
      <c r="AC258" s="19"/>
    </row>
    <row r="259" spans="15:29">
      <c r="O259" s="19"/>
      <c r="AC259" s="19"/>
    </row>
    <row r="260" spans="15:29">
      <c r="O260" s="19"/>
      <c r="AC260" s="19"/>
    </row>
    <row r="261" spans="15:29">
      <c r="O261" s="19"/>
      <c r="AC261" s="19"/>
    </row>
    <row r="262" spans="15:29">
      <c r="O262" s="19"/>
      <c r="AC262" s="19"/>
    </row>
    <row r="263" spans="15:29">
      <c r="O263" s="19"/>
      <c r="AC263" s="19"/>
    </row>
    <row r="264" spans="15:29">
      <c r="O264" s="19"/>
      <c r="AC264" s="19"/>
    </row>
    <row r="265" spans="15:29">
      <c r="O265" s="19"/>
      <c r="AC265" s="19"/>
    </row>
    <row r="266" spans="15:29">
      <c r="O266" s="19"/>
      <c r="AC266" s="19"/>
    </row>
    <row r="267" spans="15:29">
      <c r="O267" s="19"/>
      <c r="AC267" s="19"/>
    </row>
    <row r="268" spans="15:29">
      <c r="O268" s="19"/>
      <c r="AC268" s="19"/>
    </row>
    <row r="269" spans="15:29">
      <c r="O269" s="19"/>
      <c r="AC269" s="19"/>
    </row>
    <row r="270" spans="15:29">
      <c r="O270" s="19"/>
      <c r="AC270" s="19"/>
    </row>
    <row r="271" spans="15:29">
      <c r="O271" s="19"/>
      <c r="AC271" s="19"/>
    </row>
    <row r="272" spans="15:29">
      <c r="O272" s="19"/>
      <c r="AC272" s="19"/>
    </row>
    <row r="273" spans="15:29">
      <c r="O273" s="19"/>
      <c r="AC273" s="19"/>
    </row>
    <row r="274" spans="15:29">
      <c r="O274" s="19"/>
      <c r="AC274" s="19"/>
    </row>
    <row r="275" spans="15:29">
      <c r="O275" s="19"/>
      <c r="AC275" s="19"/>
    </row>
    <row r="276" spans="15:29">
      <c r="O276" s="19"/>
      <c r="AC276" s="19"/>
    </row>
    <row r="277" spans="15:29">
      <c r="O277" s="19"/>
      <c r="AC277" s="19"/>
    </row>
    <row r="278" spans="15:29">
      <c r="O278" s="19"/>
      <c r="AC278" s="19"/>
    </row>
    <row r="279" spans="15:29">
      <c r="O279" s="19"/>
      <c r="AC279" s="19"/>
    </row>
    <row r="280" spans="15:29">
      <c r="O280" s="19"/>
      <c r="AC280" s="19"/>
    </row>
    <row r="281" spans="15:29">
      <c r="O281" s="19"/>
      <c r="AC281" s="19"/>
    </row>
    <row r="282" spans="15:29">
      <c r="O282" s="19"/>
      <c r="AC282" s="19"/>
    </row>
    <row r="283" spans="15:29">
      <c r="O283" s="19"/>
      <c r="AC283" s="19"/>
    </row>
    <row r="284" spans="15:29">
      <c r="O284" s="19"/>
      <c r="AC284" s="19"/>
    </row>
    <row r="285" spans="15:29">
      <c r="O285" s="19"/>
      <c r="AC285" s="19"/>
    </row>
    <row r="286" spans="15:29">
      <c r="O286" s="19"/>
      <c r="AC286" s="19"/>
    </row>
    <row r="287" spans="15:29">
      <c r="O287" s="19"/>
      <c r="AC287" s="19"/>
    </row>
    <row r="288" spans="15:29">
      <c r="O288" s="19"/>
      <c r="AC288" s="19"/>
    </row>
    <row r="289" spans="15:29">
      <c r="O289" s="19"/>
      <c r="AC289" s="19"/>
    </row>
    <row r="290" spans="15:29">
      <c r="O290" s="19"/>
      <c r="AC290" s="19"/>
    </row>
    <row r="291" spans="15:29">
      <c r="O291" s="19"/>
      <c r="AC291" s="19"/>
    </row>
    <row r="292" spans="15:29">
      <c r="O292" s="19"/>
      <c r="AC292" s="19"/>
    </row>
    <row r="293" spans="15:29">
      <c r="O293" s="19"/>
      <c r="AC293" s="19"/>
    </row>
    <row r="294" spans="15:29">
      <c r="O294" s="19"/>
      <c r="AC294" s="19"/>
    </row>
    <row r="295" spans="15:29">
      <c r="O295" s="19"/>
      <c r="AC295" s="19"/>
    </row>
    <row r="296" spans="15:29">
      <c r="O296" s="19"/>
      <c r="AC296" s="19"/>
    </row>
    <row r="297" spans="15:29">
      <c r="O297" s="19"/>
      <c r="AC297" s="19"/>
    </row>
    <row r="298" spans="15:29">
      <c r="O298" s="19"/>
      <c r="AC298" s="19"/>
    </row>
    <row r="299" spans="15:29">
      <c r="O299" s="19"/>
      <c r="AC299" s="19"/>
    </row>
    <row r="300" spans="15:29">
      <c r="O300" s="19"/>
      <c r="AC300" s="19"/>
    </row>
    <row r="301" spans="15:29">
      <c r="O301" s="19"/>
      <c r="AC301" s="19"/>
    </row>
    <row r="302" spans="15:29">
      <c r="O302" s="19"/>
      <c r="AC302" s="19"/>
    </row>
    <row r="303" spans="15:29">
      <c r="O303" s="19"/>
      <c r="AC303" s="19"/>
    </row>
    <row r="304" spans="15:29">
      <c r="O304" s="19"/>
      <c r="AC304" s="19"/>
    </row>
    <row r="305" spans="15:29">
      <c r="O305" s="19"/>
      <c r="AC305" s="19"/>
    </row>
    <row r="306" spans="15:29">
      <c r="O306" s="19"/>
      <c r="AC306" s="19"/>
    </row>
    <row r="307" spans="15:29">
      <c r="O307" s="19"/>
      <c r="AC307" s="19"/>
    </row>
    <row r="308" spans="15:29">
      <c r="O308" s="19"/>
      <c r="AC308" s="19"/>
    </row>
    <row r="309" spans="15:29">
      <c r="O309" s="19"/>
      <c r="AC309" s="19"/>
    </row>
    <row r="310" spans="15:29">
      <c r="O310" s="19"/>
      <c r="AC310" s="19"/>
    </row>
    <row r="311" spans="15:29">
      <c r="O311" s="19"/>
      <c r="AC311" s="19"/>
    </row>
    <row r="312" spans="15:29">
      <c r="O312" s="19"/>
      <c r="AC312" s="19"/>
    </row>
    <row r="313" spans="15:29">
      <c r="O313" s="19"/>
      <c r="AC313" s="19"/>
    </row>
    <row r="314" spans="15:29">
      <c r="O314" s="19"/>
      <c r="AC314" s="19"/>
    </row>
    <row r="315" spans="15:29">
      <c r="O315" s="19"/>
      <c r="AC315" s="19"/>
    </row>
    <row r="316" spans="15:29">
      <c r="O316" s="19"/>
      <c r="AC316" s="19"/>
    </row>
    <row r="317" spans="15:29">
      <c r="O317" s="19"/>
      <c r="AC317" s="19"/>
    </row>
    <row r="318" spans="15:29">
      <c r="O318" s="19"/>
      <c r="AC318" s="19"/>
    </row>
    <row r="319" spans="15:29">
      <c r="O319" s="19"/>
      <c r="AC319" s="19"/>
    </row>
    <row r="320" spans="15:29">
      <c r="O320" s="19"/>
      <c r="AC320" s="19"/>
    </row>
    <row r="321" spans="15:29">
      <c r="O321" s="19"/>
      <c r="AC321" s="19"/>
    </row>
    <row r="322" spans="15:29">
      <c r="O322" s="19"/>
      <c r="AC322" s="19"/>
    </row>
    <row r="323" spans="15:29">
      <c r="O323" s="19"/>
      <c r="AC323" s="19"/>
    </row>
    <row r="324" spans="15:29">
      <c r="O324" s="19"/>
      <c r="AC324" s="19"/>
    </row>
    <row r="325" spans="15:29">
      <c r="O325" s="19"/>
      <c r="AC325" s="19"/>
    </row>
    <row r="326" spans="15:29">
      <c r="O326" s="19"/>
      <c r="AC326" s="19"/>
    </row>
    <row r="327" spans="15:29">
      <c r="O327" s="19"/>
      <c r="AC327" s="19"/>
    </row>
    <row r="328" spans="15:29">
      <c r="O328" s="19"/>
      <c r="AC328" s="19"/>
    </row>
    <row r="329" spans="15:29">
      <c r="O329" s="19"/>
      <c r="AC329" s="19"/>
    </row>
    <row r="330" spans="15:29">
      <c r="O330" s="19"/>
      <c r="AC330" s="19"/>
    </row>
    <row r="331" spans="15:29">
      <c r="O331" s="19"/>
      <c r="AC331" s="19"/>
    </row>
    <row r="332" spans="15:29">
      <c r="O332" s="19"/>
      <c r="AC332" s="19"/>
    </row>
    <row r="333" spans="15:29">
      <c r="O333" s="19"/>
      <c r="AC333" s="19"/>
    </row>
    <row r="334" spans="15:29">
      <c r="O334" s="19"/>
      <c r="AC334" s="19"/>
    </row>
    <row r="335" spans="15:29">
      <c r="O335" s="19"/>
      <c r="AC335" s="19"/>
    </row>
    <row r="336" spans="15:29">
      <c r="O336" s="19"/>
      <c r="AC336" s="19"/>
    </row>
    <row r="337" spans="15:29">
      <c r="O337" s="19"/>
      <c r="AC337" s="19"/>
    </row>
    <row r="338" spans="15:29">
      <c r="O338" s="19"/>
      <c r="AC338" s="19"/>
    </row>
    <row r="339" spans="15:29">
      <c r="O339" s="19"/>
      <c r="AC339" s="19"/>
    </row>
    <row r="340" spans="15:29">
      <c r="O340" s="19"/>
      <c r="AC340" s="19"/>
    </row>
    <row r="341" spans="15:29">
      <c r="O341" s="19"/>
      <c r="AC341" s="19"/>
    </row>
    <row r="342" spans="15:29">
      <c r="O342" s="19"/>
      <c r="AC342" s="19"/>
    </row>
    <row r="343" spans="15:29">
      <c r="O343" s="19"/>
      <c r="AC343" s="19"/>
    </row>
    <row r="344" spans="15:29">
      <c r="O344" s="19"/>
      <c r="AC344" s="19"/>
    </row>
    <row r="345" spans="15:29">
      <c r="O345" s="19"/>
      <c r="AC345" s="19"/>
    </row>
    <row r="346" spans="15:29">
      <c r="O346" s="19"/>
      <c r="AC346" s="19"/>
    </row>
    <row r="347" spans="15:29">
      <c r="O347" s="19"/>
      <c r="AC347" s="19"/>
    </row>
    <row r="348" spans="15:29">
      <c r="O348" s="19"/>
      <c r="AC348" s="19"/>
    </row>
    <row r="349" spans="15:29">
      <c r="O349" s="19"/>
      <c r="AC349" s="19"/>
    </row>
    <row r="350" spans="15:29">
      <c r="O350" s="19"/>
      <c r="AC350" s="19"/>
    </row>
    <row r="351" spans="15:29">
      <c r="O351" s="19"/>
      <c r="AC351" s="19"/>
    </row>
    <row r="352" spans="15:29">
      <c r="O352" s="19"/>
      <c r="AC352" s="19"/>
    </row>
    <row r="353" spans="15:29">
      <c r="O353" s="19"/>
      <c r="AC353" s="19"/>
    </row>
    <row r="354" spans="15:29">
      <c r="O354" s="19"/>
      <c r="AC354" s="19"/>
    </row>
    <row r="355" spans="15:29">
      <c r="O355" s="19"/>
      <c r="AC355" s="19"/>
    </row>
    <row r="356" spans="15:29">
      <c r="O356" s="19"/>
      <c r="AC356" s="19"/>
    </row>
    <row r="357" spans="15:29">
      <c r="O357" s="19"/>
      <c r="AC357" s="19"/>
    </row>
    <row r="358" spans="15:29">
      <c r="O358" s="19"/>
      <c r="AC358" s="19"/>
    </row>
    <row r="359" spans="15:29">
      <c r="O359" s="19"/>
      <c r="AC359" s="19"/>
    </row>
    <row r="360" spans="15:29">
      <c r="O360" s="19"/>
      <c r="AC360" s="19"/>
    </row>
    <row r="361" spans="15:29">
      <c r="O361" s="19"/>
      <c r="AC361" s="19"/>
    </row>
    <row r="362" spans="15:29">
      <c r="O362" s="19"/>
      <c r="AC362" s="19"/>
    </row>
    <row r="363" spans="15:29">
      <c r="O363" s="19"/>
      <c r="AC363" s="19"/>
    </row>
    <row r="364" spans="15:29">
      <c r="O364" s="19"/>
      <c r="AC364" s="19"/>
    </row>
    <row r="365" spans="15:29">
      <c r="O365" s="19"/>
      <c r="AC365" s="19"/>
    </row>
    <row r="366" spans="15:29">
      <c r="O366" s="19"/>
      <c r="AC366" s="19"/>
    </row>
    <row r="367" spans="15:29">
      <c r="O367" s="19"/>
      <c r="AC367" s="19"/>
    </row>
    <row r="368" spans="15:29">
      <c r="O368" s="19"/>
      <c r="AC368" s="19"/>
    </row>
    <row r="369" spans="15:29">
      <c r="O369" s="19"/>
      <c r="AC369" s="19"/>
    </row>
    <row r="370" spans="15:29">
      <c r="O370" s="19"/>
      <c r="AC370" s="19"/>
    </row>
    <row r="371" spans="15:29">
      <c r="O371" s="19"/>
      <c r="AC371" s="19"/>
    </row>
    <row r="372" spans="15:29">
      <c r="O372" s="19"/>
      <c r="AC372" s="19"/>
    </row>
    <row r="373" spans="15:29">
      <c r="O373" s="19"/>
      <c r="AC373" s="19"/>
    </row>
    <row r="374" spans="15:29">
      <c r="O374" s="19"/>
      <c r="AC374" s="19"/>
    </row>
    <row r="375" spans="15:29">
      <c r="O375" s="19"/>
      <c r="AC375" s="19"/>
    </row>
    <row r="376" spans="15:29">
      <c r="O376" s="19"/>
      <c r="AC376" s="19"/>
    </row>
    <row r="377" spans="15:29">
      <c r="O377" s="19"/>
      <c r="AC377" s="19"/>
    </row>
    <row r="378" spans="15:29">
      <c r="O378" s="19"/>
      <c r="AC378" s="19"/>
    </row>
    <row r="379" spans="15:29">
      <c r="O379" s="19"/>
      <c r="AC379" s="19"/>
    </row>
    <row r="380" spans="15:29">
      <c r="O380" s="19"/>
      <c r="AC380" s="19"/>
    </row>
    <row r="381" spans="15:29">
      <c r="O381" s="19"/>
      <c r="AC381" s="19"/>
    </row>
    <row r="382" spans="15:29">
      <c r="O382" s="19"/>
      <c r="AC382" s="19"/>
    </row>
    <row r="383" spans="15:29">
      <c r="O383" s="19"/>
      <c r="AC383" s="19"/>
    </row>
    <row r="384" spans="15:29">
      <c r="AC384" s="19"/>
    </row>
    <row r="385" spans="29:29">
      <c r="AC385" s="19"/>
    </row>
    <row r="386" spans="29:29">
      <c r="AC386" s="19"/>
    </row>
    <row r="387" spans="29:29">
      <c r="AC387" s="19"/>
    </row>
    <row r="388" spans="29:29">
      <c r="AC388" s="19"/>
    </row>
    <row r="389" spans="29:29">
      <c r="AC389" s="19"/>
    </row>
    <row r="390" spans="29:29">
      <c r="AC390" s="19"/>
    </row>
    <row r="391" spans="29:29">
      <c r="AC391" s="19"/>
    </row>
    <row r="392" spans="29:29">
      <c r="AC392" s="19"/>
    </row>
    <row r="393" spans="29:29">
      <c r="AC393" s="19"/>
    </row>
    <row r="394" spans="29:29">
      <c r="AC394" s="19"/>
    </row>
    <row r="395" spans="29:29">
      <c r="AC395" s="19"/>
    </row>
  </sheetData>
  <mergeCells count="17">
    <mergeCell ref="S53:U53"/>
    <mergeCell ref="V53:AE53"/>
    <mergeCell ref="M41:N41"/>
    <mergeCell ref="S45:U45"/>
    <mergeCell ref="V45:AE45"/>
    <mergeCell ref="S46:U46"/>
    <mergeCell ref="V46:AE46"/>
    <mergeCell ref="AE5:AG5"/>
    <mergeCell ref="AH5:AI5"/>
    <mergeCell ref="S50:U50"/>
    <mergeCell ref="V50:AE50"/>
    <mergeCell ref="S47:U47"/>
    <mergeCell ref="V47:AE47"/>
    <mergeCell ref="S48:U48"/>
    <mergeCell ref="V48:AE48"/>
    <mergeCell ref="S49:U49"/>
    <mergeCell ref="V49:AE49"/>
  </mergeCells>
  <phoneticPr fontId="12" type="noConversion"/>
  <printOptions horizontalCentered="1"/>
  <pageMargins left="0.7" right="0.7" top="0.25" bottom="0.25" header="0.3" footer="0.3"/>
  <pageSetup scale="75" orientation="landscape" r:id="rId1"/>
  <headerFooter>
    <oddHeader>&amp;L&amp;"Calibri"&amp;9&amp;K000000Classification: Internal&amp;1#</oddHeader>
  </headerFooter>
  <ignoredErrors>
    <ignoredError sqref="S49" unlocked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6A0DC3B56C494E81B01879E1F078A5" ma:contentTypeVersion="2" ma:contentTypeDescription="Create a new document." ma:contentTypeScope="" ma:versionID="a711816804160e4c262142418d241555">
  <xsd:schema xmlns:xsd="http://www.w3.org/2001/XMLSchema" xmlns:xs="http://www.w3.org/2001/XMLSchema" xmlns:p="http://schemas.microsoft.com/office/2006/metadata/properties" xmlns:ns2="3dac3852-c40f-424b-91f3-2b0e1d122f46" targetNamespace="http://schemas.microsoft.com/office/2006/metadata/properties" ma:root="true" ma:fieldsID="17c56f4c300bfd4079ac06512d9df2fa" ns2:_="">
    <xsd:import namespace="3dac3852-c40f-424b-91f3-2b0e1d122f46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c3852-c40f-424b-91f3-2b0e1d122f4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904FEB-671C-46A6-8D90-1A289F1EA1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ac3852-c40f-424b-91f3-2b0e1d122f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3F7058A-758E-4297-832B-694317777C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F414A1-8EA9-48DE-99ED-FC74A712F46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7</vt:i4>
      </vt:variant>
    </vt:vector>
  </HeadingPairs>
  <TitlesOfParts>
    <vt:vector size="11" baseType="lpstr">
      <vt:lpstr>QG NFQ17-01 - FINAL As RUN</vt:lpstr>
      <vt:lpstr>QG NFQ17-01 - Space Out</vt:lpstr>
      <vt:lpstr>Deck Tally</vt:lpstr>
      <vt:lpstr>SPACE OUT Calculation</vt:lpstr>
      <vt:lpstr>'QG NFQ17-01 - FINAL As RUN'!EKIKO2</vt:lpstr>
      <vt:lpstr>'QG NFQ17-01 - Space Out'!EKIKO2</vt:lpstr>
      <vt:lpstr>'QG NFQ17-01 - FINAL As RUN'!Заголовки_для_печати</vt:lpstr>
      <vt:lpstr>'QG NFQ17-01 - Space Out'!Заголовки_для_печати</vt:lpstr>
      <vt:lpstr>'QG NFQ17-01 - FINAL As RUN'!Область_печати</vt:lpstr>
      <vt:lpstr>'QG NFQ17-01 - Space Out'!Область_печати</vt:lpstr>
      <vt:lpstr>'SPACE OUT Calculation'!Область_печати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DTF (Rig - Hak 8) - Ras Laffan</dc:creator>
  <cp:lastModifiedBy>Maxim Kiselev</cp:lastModifiedBy>
  <cp:lastPrinted>2023-07-11T13:48:11Z</cp:lastPrinted>
  <dcterms:created xsi:type="dcterms:W3CDTF">1998-08-22T05:18:06Z</dcterms:created>
  <dcterms:modified xsi:type="dcterms:W3CDTF">2026-01-25T16:47:05Z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8fbde5-0dd0-43d5-aca2-2bbc289e3948_Enabled">
    <vt:lpwstr>True</vt:lpwstr>
  </property>
  <property fmtid="{D5CDD505-2E9C-101B-9397-08002B2CF9AE}" pid="3" name="MSIP_Label_668fbde5-0dd0-43d5-aca2-2bbc289e3948_SiteId">
    <vt:lpwstr>de2c0330-f2e8-4149-a927-0c5a8592f0da</vt:lpwstr>
  </property>
  <property fmtid="{D5CDD505-2E9C-101B-9397-08002B2CF9AE}" pid="4" name="MSIP_Label_668fbde5-0dd0-43d5-aca2-2bbc289e3948_Owner">
    <vt:lpwstr>C009130@qatargas.com.qa</vt:lpwstr>
  </property>
  <property fmtid="{D5CDD505-2E9C-101B-9397-08002B2CF9AE}" pid="5" name="MSIP_Label_668fbde5-0dd0-43d5-aca2-2bbc289e3948_SetDate">
    <vt:lpwstr>2020-12-27T23:36:04.7187483Z</vt:lpwstr>
  </property>
  <property fmtid="{D5CDD505-2E9C-101B-9397-08002B2CF9AE}" pid="6" name="MSIP_Label_668fbde5-0dd0-43d5-aca2-2bbc289e3948_Name">
    <vt:lpwstr>Internal</vt:lpwstr>
  </property>
  <property fmtid="{D5CDD505-2E9C-101B-9397-08002B2CF9AE}" pid="7" name="MSIP_Label_668fbde5-0dd0-43d5-aca2-2bbc289e3948_Application">
    <vt:lpwstr>Microsoft Azure Information Protection</vt:lpwstr>
  </property>
  <property fmtid="{D5CDD505-2E9C-101B-9397-08002B2CF9AE}" pid="8" name="MSIP_Label_668fbde5-0dd0-43d5-aca2-2bbc289e3948_ActionId">
    <vt:lpwstr>9b76d2d0-27e2-417f-8f85-94c22637cbef</vt:lpwstr>
  </property>
  <property fmtid="{D5CDD505-2E9C-101B-9397-08002B2CF9AE}" pid="9" name="MSIP_Label_668fbde5-0dd0-43d5-aca2-2bbc289e3948_Extended_MSFT_Method">
    <vt:lpwstr>Manual</vt:lpwstr>
  </property>
  <property fmtid="{D5CDD505-2E9C-101B-9397-08002B2CF9AE}" pid="10" name="Sensitivity">
    <vt:lpwstr>Internal</vt:lpwstr>
  </property>
  <property fmtid="{D5CDD505-2E9C-101B-9397-08002B2CF9AE}" pid="11" name="ContentTypeId">
    <vt:lpwstr>0x010100BE6A0DC3B56C494E81B01879E1F078A5</vt:lpwstr>
  </property>
  <property fmtid="{D5CDD505-2E9C-101B-9397-08002B2CF9AE}" pid="12" name="Order">
    <vt:r8>25870900</vt:r8>
  </property>
</Properties>
</file>