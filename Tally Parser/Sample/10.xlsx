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546231F2-185E-4125-9606-D3FC3245E9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&quot; Liner Tally NFQ18-6" sheetId="1" r:id="rId1"/>
  </sheets>
  <definedNames>
    <definedName name="_xlnm.Print_Titles" localSheetId="0">'7" Liner Tally NFQ18-6'!$1:$1</definedName>
    <definedName name="_xlnm.Print_Area" localSheetId="0">'7" Liner Tally NFQ18-6'!$A$1:$J$310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6" i="1" l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86" i="1"/>
  <c r="H87" i="1"/>
  <c r="H88" i="1"/>
  <c r="H89" i="1"/>
  <c r="H90" i="1"/>
</calcChain>
</file>

<file path=xl/sharedStrings.xml><?xml version="1.0" encoding="utf-8"?>
<sst xmlns="http://schemas.openxmlformats.org/spreadsheetml/2006/main" count="350" uniqueCount="47">
  <si>
    <t>TOTAL</t>
  </si>
  <si>
    <t>-</t>
  </si>
  <si>
    <t xml:space="preserve">VAM 21 HT NX </t>
  </si>
  <si>
    <t>VAM 21 HT NX</t>
  </si>
  <si>
    <t>TSH WEGDE 563</t>
  </si>
  <si>
    <t>CROSSOVER ASSY         QG-7in-XO-03-NFE</t>
  </si>
  <si>
    <t>PIP TAG # 1 ON JT# QQ5</t>
  </si>
  <si>
    <t>Max                 Opt                 Min</t>
  </si>
  <si>
    <t xml:space="preserve">Torque 7'' 29# Vam® 21 HT NX </t>
  </si>
  <si>
    <t>PIP TAG # 3 ON JT# NN9</t>
  </si>
  <si>
    <t>PIP TAG # 2 ON JT# PP3</t>
  </si>
  <si>
    <t>Torque 7'' 29# TSH Wedge 563</t>
  </si>
  <si>
    <t>PIP TAG # 11 ON JT  # V3</t>
  </si>
  <si>
    <t>PIP TAG # 10 ON JT# D9</t>
  </si>
  <si>
    <t>PIP TAG # 9 ON JT# I6</t>
  </si>
  <si>
    <t>PIP TAG # 8 ON JT# I8</t>
  </si>
  <si>
    <t>PIP TAG # 7 ON JT# O6</t>
  </si>
  <si>
    <t>PIP TAG # 6 ON JT# Q5</t>
  </si>
  <si>
    <t>PIP TAG # 5 ON JT# Y1</t>
  </si>
  <si>
    <t>PIP TAG # 4 ON JT# LL8</t>
  </si>
  <si>
    <t>16,775              15,250              14,750</t>
  </si>
  <si>
    <t xml:space="preserve"> 19,400             17,700            12,100</t>
  </si>
  <si>
    <t>Primary: 16,279 ft MD (Driller’s depth)</t>
  </si>
  <si>
    <t>Backup: 16,246 ft MD (Driller’s depth)</t>
  </si>
  <si>
    <t>17,347 (Top shot?)</t>
  </si>
  <si>
    <t>CCL</t>
  </si>
  <si>
    <t>Corrected</t>
  </si>
  <si>
    <t>Cent</t>
  </si>
  <si>
    <t>Length</t>
  </si>
  <si>
    <t>Top depth</t>
  </si>
  <si>
    <t>Description</t>
  </si>
  <si>
    <t>Comments</t>
  </si>
  <si>
    <r>
      <t xml:space="preserve"> </t>
    </r>
    <r>
      <rPr>
        <sz val="10"/>
        <rFont val="Geneva"/>
      </rPr>
      <t xml:space="preserve"> 20 ft </t>
    </r>
    <r>
      <rPr>
        <sz val="9"/>
        <rFont val="Geneva"/>
      </rPr>
      <t>PUP JOINT</t>
    </r>
  </si>
  <si>
    <r>
      <t xml:space="preserve">PIP TAG INSTALLED ON BTTM STOP COLLAR OF TOP CENTRALIZER  </t>
    </r>
    <r>
      <rPr>
        <sz val="7.5"/>
        <rFont val="Geneva"/>
      </rPr>
      <t>11 ft</t>
    </r>
    <r>
      <rPr>
        <sz val="7"/>
        <rFont val="Geneva"/>
      </rPr>
      <t xml:space="preserve">  FROM BOX END.</t>
    </r>
    <r>
      <rPr>
        <sz val="7.5"/>
        <rFont val="Geneva"/>
      </rPr>
      <t xml:space="preserve">                                 </t>
    </r>
    <r>
      <rPr>
        <sz val="9"/>
        <rFont val="Geneva"/>
      </rPr>
      <t xml:space="preserve">DEPTH : 21,755.03 ft    </t>
    </r>
    <r>
      <rPr>
        <sz val="7"/>
        <rFont val="Geneva"/>
      </rPr>
      <t xml:space="preserve">                                                   ( BELOW K-3 PERF ) </t>
    </r>
  </si>
  <si>
    <r>
      <t>PIP TAG INSTALLED ON</t>
    </r>
    <r>
      <rPr>
        <sz val="7.5"/>
        <rFont val="Geneva"/>
      </rPr>
      <t xml:space="preserve"> </t>
    </r>
    <r>
      <rPr>
        <sz val="7"/>
        <rFont val="Geneva"/>
      </rPr>
      <t xml:space="preserve"> BTTM STOP COLLAR OF BTTM CENTRALIZER </t>
    </r>
    <r>
      <rPr>
        <sz val="7.5"/>
        <rFont val="Geneva"/>
      </rPr>
      <t>10 ft</t>
    </r>
    <r>
      <rPr>
        <sz val="7"/>
        <rFont val="Geneva"/>
      </rPr>
      <t xml:space="preserve"> FROM PIN END.</t>
    </r>
    <r>
      <rPr>
        <sz val="7.5"/>
        <rFont val="Geneva"/>
      </rPr>
      <t xml:space="preserve">                                 </t>
    </r>
    <r>
      <rPr>
        <sz val="9"/>
        <rFont val="Geneva"/>
      </rPr>
      <t xml:space="preserve">DEPTH : 20,368.82 ft </t>
    </r>
    <r>
      <rPr>
        <sz val="7"/>
        <rFont val="Geneva"/>
      </rPr>
      <t xml:space="preserve">                                                                                  ( SPLIT K-3 TARGET INTERVAL EXTRA PIP TAG ) </t>
    </r>
  </si>
  <si>
    <r>
      <t xml:space="preserve">PIP TAG INSTALLED ON BTTM STOP COLLAR OF BTTM CENTRALIZER  </t>
    </r>
    <r>
      <rPr>
        <sz val="7.5"/>
        <rFont val="Geneva"/>
      </rPr>
      <t>5 ft</t>
    </r>
    <r>
      <rPr>
        <sz val="7"/>
        <rFont val="Geneva"/>
      </rPr>
      <t xml:space="preserve"> FROM PIN END.</t>
    </r>
    <r>
      <rPr>
        <sz val="7.5"/>
        <rFont val="Geneva"/>
      </rPr>
      <t xml:space="preserve">                                 </t>
    </r>
    <r>
      <rPr>
        <sz val="7"/>
        <rFont val="Geneva"/>
      </rPr>
      <t xml:space="preserve"> </t>
    </r>
    <r>
      <rPr>
        <sz val="9"/>
        <rFont val="Geneva"/>
      </rPr>
      <t xml:space="preserve">DEPTH : 18,980.75 ft </t>
    </r>
    <r>
      <rPr>
        <sz val="7"/>
        <rFont val="Geneva"/>
      </rPr>
      <t xml:space="preserve">                                                                ( ABOVE K-3 PERF ) </t>
    </r>
  </si>
  <si>
    <r>
      <t xml:space="preserve"> </t>
    </r>
    <r>
      <rPr>
        <sz val="10"/>
        <rFont val="Geneva"/>
      </rPr>
      <t xml:space="preserve"> 10 ft</t>
    </r>
    <r>
      <rPr>
        <sz val="9"/>
        <rFont val="Geneva"/>
      </rPr>
      <t xml:space="preserve"> PUP JOINT</t>
    </r>
  </si>
  <si>
    <r>
      <t xml:space="preserve"> </t>
    </r>
    <r>
      <rPr>
        <sz val="10"/>
        <rFont val="Geneva"/>
      </rPr>
      <t xml:space="preserve"> 20 ft</t>
    </r>
    <r>
      <rPr>
        <sz val="9"/>
        <rFont val="Geneva"/>
      </rPr>
      <t xml:space="preserve"> PUP JOINT</t>
    </r>
  </si>
  <si>
    <r>
      <t xml:space="preserve">PIP TAG INSTALLED ON BTTM STOP COLLAR OF BTTM CENTRALIZER  </t>
    </r>
    <r>
      <rPr>
        <sz val="7.5"/>
        <rFont val="Geneva"/>
      </rPr>
      <t>9 ft</t>
    </r>
    <r>
      <rPr>
        <sz val="7"/>
        <rFont val="Geneva"/>
      </rPr>
      <t xml:space="preserve"> FROM PIN END.</t>
    </r>
    <r>
      <rPr>
        <sz val="7.5"/>
        <rFont val="Geneva"/>
      </rPr>
      <t xml:space="preserve">                                 </t>
    </r>
    <r>
      <rPr>
        <sz val="9"/>
        <rFont val="Geneva"/>
      </rPr>
      <t xml:space="preserve">DEPTH : 18,880.40 ft </t>
    </r>
    <r>
      <rPr>
        <sz val="7"/>
        <rFont val="Geneva"/>
      </rPr>
      <t xml:space="preserve">                                                       ( BELOW K-2 PERF ) </t>
    </r>
  </si>
  <si>
    <r>
      <t xml:space="preserve">PIP TAG INSTALLED ON TOP STOP COLLAR OF TOP CENTRALIZER  </t>
    </r>
    <r>
      <rPr>
        <sz val="7.5"/>
        <rFont val="Geneva"/>
      </rPr>
      <t>2 ft</t>
    </r>
    <r>
      <rPr>
        <sz val="7"/>
        <rFont val="Geneva"/>
      </rPr>
      <t xml:space="preserve"> FROM BOX END.</t>
    </r>
    <r>
      <rPr>
        <sz val="7.5"/>
        <rFont val="Geneva"/>
      </rPr>
      <t xml:space="preserve">                                            </t>
    </r>
    <r>
      <rPr>
        <sz val="9"/>
        <rFont val="Geneva"/>
      </rPr>
      <t xml:space="preserve">DEPTH : 17,127.55 ft </t>
    </r>
    <r>
      <rPr>
        <sz val="7"/>
        <rFont val="Geneva"/>
      </rPr>
      <t xml:space="preserve">                                                         ( ABOVE K-2 PERF ) </t>
    </r>
  </si>
  <si>
    <r>
      <t xml:space="preserve">PIP TAG INSTALLED ON TOP STOP COLLAR OF BTTM CENTRALIZER  </t>
    </r>
    <r>
      <rPr>
        <sz val="7.5"/>
        <rFont val="Geneva"/>
      </rPr>
      <t>13 ft</t>
    </r>
    <r>
      <rPr>
        <sz val="7"/>
        <rFont val="Geneva"/>
      </rPr>
      <t xml:space="preserve"> FROM PIN END.</t>
    </r>
    <r>
      <rPr>
        <sz val="7.5"/>
        <rFont val="Geneva"/>
      </rPr>
      <t xml:space="preserve">                                           </t>
    </r>
    <r>
      <rPr>
        <sz val="9"/>
        <rFont val="Geneva"/>
      </rPr>
      <t xml:space="preserve">DEPTH :  16,550.13 ft  </t>
    </r>
    <r>
      <rPr>
        <sz val="7"/>
        <rFont val="Geneva"/>
      </rPr>
      <t xml:space="preserve">                                                          ( BELOW K-1 PERF ) </t>
    </r>
  </si>
  <si>
    <r>
      <t xml:space="preserve">PIP TAG INSTALLED ON BTTM STOP COLLAR OF BTTM CENTRALIZER  </t>
    </r>
    <r>
      <rPr>
        <sz val="7.5"/>
        <rFont val="Geneva"/>
      </rPr>
      <t>5 ft</t>
    </r>
    <r>
      <rPr>
        <sz val="7"/>
        <rFont val="Geneva"/>
      </rPr>
      <t xml:space="preserve"> FROM PIN END.</t>
    </r>
    <r>
      <rPr>
        <sz val="7.5"/>
        <rFont val="Geneva"/>
      </rPr>
      <t xml:space="preserve">                                 </t>
    </r>
    <r>
      <rPr>
        <sz val="7"/>
        <rFont val="Geneva"/>
      </rPr>
      <t xml:space="preserve"> </t>
    </r>
    <r>
      <rPr>
        <sz val="9"/>
        <rFont val="Geneva"/>
      </rPr>
      <t>DEPTH : 14,889.49 ft</t>
    </r>
    <r>
      <rPr>
        <sz val="8"/>
        <rFont val="Geneva"/>
      </rPr>
      <t xml:space="preserve"> </t>
    </r>
    <r>
      <rPr>
        <sz val="7"/>
        <rFont val="Geneva"/>
      </rPr>
      <t xml:space="preserve">                                                                          ( SPLIT K-1 TARGET INTERVAL EXTRA PIP TAG ) </t>
    </r>
  </si>
  <si>
    <r>
      <t xml:space="preserve">PIP TAG INSTALLED ON TOP STOP COLLAR OF TOP CENTRALIZER </t>
    </r>
    <r>
      <rPr>
        <sz val="7.5"/>
        <rFont val="Geneva"/>
      </rPr>
      <t>10 ft</t>
    </r>
    <r>
      <rPr>
        <sz val="7"/>
        <rFont val="Geneva"/>
      </rPr>
      <t xml:space="preserve"> FROM BOX END.</t>
    </r>
    <r>
      <rPr>
        <sz val="7.5"/>
        <rFont val="Geneva"/>
      </rPr>
      <t xml:space="preserve">                                 </t>
    </r>
    <r>
      <rPr>
        <sz val="7"/>
        <rFont val="Geneva"/>
      </rPr>
      <t xml:space="preserve"> </t>
    </r>
    <r>
      <rPr>
        <sz val="9"/>
        <rFont val="Geneva"/>
      </rPr>
      <t xml:space="preserve">DEPTH : 13,090.75 ft   </t>
    </r>
    <r>
      <rPr>
        <sz val="7"/>
        <rFont val="Geneva"/>
      </rPr>
      <t xml:space="preserve">                                                                 ( SPLIT K-1 TARGET INTERVAL EXTRA PIP TAG ) </t>
    </r>
  </si>
  <si>
    <r>
      <t xml:space="preserve">PIP TAG INSTALLED ON BTTM STOP COLLAR OF BTTM CENTRALIZER  </t>
    </r>
    <r>
      <rPr>
        <sz val="7.5"/>
        <rFont val="Geneva"/>
      </rPr>
      <t>1 ft</t>
    </r>
    <r>
      <rPr>
        <sz val="7"/>
        <rFont val="Geneva"/>
      </rPr>
      <t xml:space="preserve"> FROM PIN END.</t>
    </r>
    <r>
      <rPr>
        <sz val="7.5"/>
        <rFont val="Geneva"/>
      </rPr>
      <t xml:space="preserve">                                 </t>
    </r>
    <r>
      <rPr>
        <sz val="7"/>
        <rFont val="Geneva"/>
      </rPr>
      <t xml:space="preserve"> </t>
    </r>
    <r>
      <rPr>
        <sz val="9"/>
        <rFont val="Geneva"/>
      </rPr>
      <t>DEPTH : 12,428.02 ft</t>
    </r>
    <r>
      <rPr>
        <sz val="8"/>
        <rFont val="Geneva"/>
      </rPr>
      <t xml:space="preserve"> </t>
    </r>
    <r>
      <rPr>
        <sz val="9"/>
        <rFont val="Geneva"/>
      </rPr>
      <t xml:space="preserve"> </t>
    </r>
    <r>
      <rPr>
        <sz val="7"/>
        <rFont val="Geneva"/>
      </rPr>
      <t xml:space="preserve">                                                                     ( ABOVE K-1 PERF ) </t>
    </r>
  </si>
  <si>
    <r>
      <t xml:space="preserve">PIP TAG INSTALLED ON BTTM STOP COLLAR OF BTTM CENTRALIZER  </t>
    </r>
    <r>
      <rPr>
        <sz val="7.5"/>
        <rFont val="Geneva"/>
      </rPr>
      <t>7 ft</t>
    </r>
    <r>
      <rPr>
        <sz val="7"/>
        <rFont val="Geneva"/>
      </rPr>
      <t xml:space="preserve"> FROM PIN END.</t>
    </r>
    <r>
      <rPr>
        <sz val="7.5"/>
        <rFont val="Geneva"/>
      </rPr>
      <t xml:space="preserve">                                 </t>
    </r>
    <r>
      <rPr>
        <sz val="9"/>
        <rFont val="Geneva"/>
      </rPr>
      <t>DEPTH : 11,975.15 ft</t>
    </r>
    <r>
      <rPr>
        <sz val="8"/>
        <rFont val="Geneva"/>
      </rPr>
      <t xml:space="preserve"> </t>
    </r>
    <r>
      <rPr>
        <sz val="7"/>
        <rFont val="Geneva"/>
      </rPr>
      <t xml:space="preserve">                                                                       ( AT 75° INCLINATION ) </t>
    </r>
  </si>
  <si>
    <r>
      <t xml:space="preserve">PIP TAG INSTALLED ON TOP STOP COLLAR OF TOP CENTRALIZER  </t>
    </r>
    <r>
      <rPr>
        <sz val="7.5"/>
        <rFont val="Geneva"/>
      </rPr>
      <t>6 ft</t>
    </r>
    <r>
      <rPr>
        <sz val="7"/>
        <rFont val="Geneva"/>
      </rPr>
      <t xml:space="preserve"> FROM BOX END.</t>
    </r>
    <r>
      <rPr>
        <sz val="7.5"/>
        <rFont val="Geneva"/>
      </rPr>
      <t xml:space="preserve">                                 </t>
    </r>
    <r>
      <rPr>
        <sz val="9"/>
        <rFont val="Geneva"/>
      </rPr>
      <t xml:space="preserve">DEPTH : 11,533.67 ft  </t>
    </r>
    <r>
      <rPr>
        <sz val="7"/>
        <rFont val="Geneva"/>
      </rPr>
      <t xml:space="preserve">                                                              ( 50' below Top Of Liner ) </t>
    </r>
  </si>
  <si>
    <t>CCL depth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</si>
</sst>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7">
    <font>
      <sz val="11"/>
      <color theme="1"/>
      <name val="Calibri"/>
      <family val="2"/>
      <scheme val="minor"/>
    </font>
    <font>
      <sz val="9"/>
      <name val="Geneva"/>
    </font>
    <font>
      <sz val="10"/>
      <name val="Geneva"/>
    </font>
    <font>
      <sz val="11"/>
      <color theme="1"/>
      <name val="Calibri"/>
      <family val="2"/>
      <scheme val="minor"/>
    </font>
    <font>
      <sz val="14"/>
      <name val="Tms Rmn"/>
      <family val="1"/>
    </font>
    <font>
      <sz val="12"/>
      <name val="Osaka"/>
      <family val="1"/>
    </font>
    <font>
      <u/>
      <sz val="7"/>
      <color indexed="12"/>
      <name val="Tms Rmn"/>
      <family val="1"/>
    </font>
    <font>
      <sz val="8"/>
      <name val="Calibri"/>
      <family val="2"/>
      <scheme val="minor"/>
    </font>
    <font>
      <sz val="10"/>
      <name val="Arial"/>
      <family val="2"/>
    </font>
    <font>
      <sz val="12"/>
      <name val="Osaka"/>
      <family val="3"/>
      <charset val="128"/>
    </font>
    <font>
      <sz val="10"/>
      <name val="Times New Roman"/>
      <family val="1"/>
    </font>
    <font>
      <sz val="10"/>
      <name val="MS Sans Serif"/>
    </font>
    <font>
      <sz val="8"/>
      <name val="Geneva"/>
    </font>
    <font>
      <sz val="7.5"/>
      <name val="Geneva"/>
    </font>
    <font>
      <sz val="11"/>
      <name val="Calibri"/>
      <family val="2"/>
      <scheme val="minor"/>
    </font>
    <font>
      <sz val="8.5"/>
      <name val="Geneva"/>
    </font>
    <font>
      <sz val="7"/>
      <name val="Geneva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1E3270"/>
        <bgColor indexed="64"/>
      </patternFill>
    </fill>
    <fill>
      <patternFill patternType="solid">
        <fgColor rgb="FFE3EFF9"/>
        <bgColor indexed="64"/>
      </patternFill>
    </fill>
    <fill>
      <patternFill patternType="solid">
        <fgColor rgb="FF01CB9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1EDBA"/>
        <bgColor indexed="64"/>
      </patternFill>
    </fill>
    <fill>
      <patternFill patternType="solid">
        <fgColor rgb="FFD1FF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8">
    <xf numFmtId="0" fontId="0" fillId="0" borderId="0"/>
    <xf numFmtId="0" fontId="2" fillId="0" borderId="0"/>
    <xf numFmtId="0" fontId="4" fillId="0" borderId="0"/>
    <xf numFmtId="38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9" fillId="0" borderId="0"/>
    <xf numFmtId="0" fontId="3" fillId="0" borderId="0"/>
    <xf numFmtId="0" fontId="10" fillId="0" borderId="0"/>
    <xf numFmtId="0" fontId="10" fillId="0" borderId="0"/>
    <xf numFmtId="0" fontId="8" fillId="0" borderId="0"/>
    <xf numFmtId="0" fontId="3" fillId="0" borderId="0"/>
    <xf numFmtId="0" fontId="8" fillId="0" borderId="0"/>
    <xf numFmtId="0" fontId="11" fillId="0" borderId="0"/>
    <xf numFmtId="0" fontId="8" fillId="0" borderId="0"/>
    <xf numFmtId="0" fontId="3" fillId="0" borderId="0"/>
    <xf numFmtId="164" fontId="8" fillId="0" borderId="0" applyFont="0" applyFill="0" applyBorder="0" applyAlignment="0" applyProtection="0"/>
    <xf numFmtId="0" fontId="8" fillId="0" borderId="0"/>
  </cellStyleXfs>
  <cellXfs count="100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2" fontId="1" fillId="9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2" fontId="1" fillId="14" borderId="1" xfId="0" applyNumberFormat="1" applyFont="1" applyFill="1" applyBorder="1" applyAlignment="1">
      <alignment horizontal="center" vertical="center"/>
    </xf>
    <xf numFmtId="1" fontId="1" fillId="8" borderId="6" xfId="0" applyNumberFormat="1" applyFont="1" applyFill="1" applyBorder="1" applyAlignment="1">
      <alignment horizontal="center" vertical="center"/>
    </xf>
    <xf numFmtId="1" fontId="12" fillId="8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1" fontId="1" fillId="8" borderId="10" xfId="0" applyNumberFormat="1" applyFont="1" applyFill="1" applyBorder="1" applyAlignment="1">
      <alignment horizontal="center" vertical="center"/>
    </xf>
    <xf numFmtId="1" fontId="12" fillId="8" borderId="11" xfId="0" applyNumberFormat="1" applyFont="1" applyFill="1" applyBorder="1" applyAlignment="1">
      <alignment horizontal="center" vertical="center"/>
    </xf>
    <xf numFmtId="1" fontId="1" fillId="8" borderId="11" xfId="0" applyNumberFormat="1" applyFont="1" applyFill="1" applyBorder="1" applyAlignment="1">
      <alignment horizontal="center" vertical="center"/>
    </xf>
    <xf numFmtId="2" fontId="2" fillId="8" borderId="11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2" fontId="14" fillId="0" borderId="0" xfId="0" applyNumberFormat="1" applyFont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14" borderId="1" xfId="0" applyNumberFormat="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 vertical="center"/>
    </xf>
    <xf numFmtId="1" fontId="1" fillId="9" borderId="4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 vertical="center"/>
    </xf>
    <xf numFmtId="1" fontId="1" fillId="15" borderId="1" xfId="0" applyNumberFormat="1" applyFont="1" applyFill="1" applyBorder="1" applyAlignment="1">
      <alignment horizontal="center" vertical="center"/>
    </xf>
    <xf numFmtId="2" fontId="15" fillId="0" borderId="8" xfId="0" applyNumberFormat="1" applyFont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1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12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6" borderId="11" xfId="0" applyNumberFormat="1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/>
    </xf>
    <xf numFmtId="2" fontId="15" fillId="0" borderId="9" xfId="0" applyNumberFormat="1" applyFont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1" fontId="1" fillId="7" borderId="4" xfId="0" applyNumberFormat="1" applyFont="1" applyFill="1" applyBorder="1" applyAlignment="1">
      <alignment horizontal="center" vertical="center"/>
    </xf>
    <xf numFmtId="1" fontId="1" fillId="12" borderId="6" xfId="0" applyNumberFormat="1" applyFont="1" applyFill="1" applyBorder="1" applyAlignment="1">
      <alignment horizontal="center" vertical="center"/>
    </xf>
    <xf numFmtId="1" fontId="12" fillId="12" borderId="1" xfId="0" applyNumberFormat="1" applyFont="1" applyFill="1" applyBorder="1" applyAlignment="1">
      <alignment horizontal="center" vertical="center"/>
    </xf>
    <xf numFmtId="2" fontId="1" fillId="12" borderId="1" xfId="0" applyNumberFormat="1" applyFont="1" applyFill="1" applyBorder="1" applyAlignment="1">
      <alignment horizontal="center" vertical="center"/>
    </xf>
    <xf numFmtId="1" fontId="1" fillId="12" borderId="4" xfId="0" applyNumberFormat="1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 vertical="center"/>
    </xf>
    <xf numFmtId="2" fontId="1" fillId="15" borderId="1" xfId="0" applyNumberFormat="1" applyFont="1" applyFill="1" applyBorder="1" applyAlignment="1">
      <alignment horizontal="center" vertical="center"/>
    </xf>
    <xf numFmtId="1" fontId="12" fillId="9" borderId="1" xfId="0" applyNumberFormat="1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1" fontId="2" fillId="12" borderId="4" xfId="0" applyNumberFormat="1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/>
    </xf>
    <xf numFmtId="2" fontId="2" fillId="6" borderId="11" xfId="0" applyNumberFormat="1" applyFont="1" applyFill="1" applyBorder="1" applyAlignment="1">
      <alignment horizontal="center" vertical="center"/>
    </xf>
    <xf numFmtId="1" fontId="2" fillId="6" borderId="12" xfId="0" applyNumberFormat="1" applyFont="1" applyFill="1" applyBorder="1" applyAlignment="1">
      <alignment horizontal="center" vertical="center"/>
    </xf>
    <xf numFmtId="1" fontId="1" fillId="16" borderId="6" xfId="0" applyNumberFormat="1" applyFont="1" applyFill="1" applyBorder="1" applyAlignment="1">
      <alignment horizontal="center" vertical="center"/>
    </xf>
    <xf numFmtId="1" fontId="12" fillId="16" borderId="1" xfId="0" applyNumberFormat="1" applyFont="1" applyFill="1" applyBorder="1" applyAlignment="1">
      <alignment horizontal="center" vertical="center"/>
    </xf>
    <xf numFmtId="1" fontId="1" fillId="16" borderId="1" xfId="0" applyNumberFormat="1" applyFont="1" applyFill="1" applyBorder="1" applyAlignment="1">
      <alignment horizontal="center" vertical="center"/>
    </xf>
    <xf numFmtId="2" fontId="1" fillId="16" borderId="1" xfId="0" applyNumberFormat="1" applyFont="1" applyFill="1" applyBorder="1" applyAlignment="1">
      <alignment horizontal="center" vertical="center"/>
    </xf>
    <xf numFmtId="1" fontId="1" fillId="16" borderId="4" xfId="0" applyNumberFormat="1" applyFont="1" applyFill="1" applyBorder="1" applyAlignment="1">
      <alignment horizontal="center" vertical="center"/>
    </xf>
    <xf numFmtId="1" fontId="12" fillId="7" borderId="15" xfId="0" applyNumberFormat="1" applyFont="1" applyFill="1" applyBorder="1" applyAlignment="1">
      <alignment horizontal="center" vertical="center"/>
    </xf>
    <xf numFmtId="1" fontId="12" fillId="7" borderId="3" xfId="0" applyNumberFormat="1" applyFont="1" applyFill="1" applyBorder="1" applyAlignment="1">
      <alignment horizontal="center" vertical="center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6" fillId="13" borderId="16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" fontId="12" fillId="15" borderId="15" xfId="0" applyNumberFormat="1" applyFont="1" applyFill="1" applyBorder="1" applyAlignment="1">
      <alignment horizontal="center" vertical="center"/>
    </xf>
    <xf numFmtId="1" fontId="12" fillId="15" borderId="3" xfId="0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3" fillId="11" borderId="15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1" fontId="12" fillId="9" borderId="6" xfId="0" applyNumberFormat="1" applyFont="1" applyFill="1" applyBorder="1" applyAlignment="1">
      <alignment horizontal="center" vertical="center" wrapText="1"/>
    </xf>
    <xf numFmtId="1" fontId="12" fillId="9" borderId="1" xfId="0" applyNumberFormat="1" applyFont="1" applyFill="1" applyBorder="1" applyAlignment="1">
      <alignment horizontal="center" vertical="center" wrapText="1"/>
    </xf>
  </cellXfs>
  <cellStyles count="18">
    <cellStyle name="(Built-in)" xfId="3" xr:uid="{00000000-0005-0000-0000-000000000000}"/>
    <cellStyle name="Currency 2" xfId="16" xr:uid="{3C33E47A-75CC-4EA5-B7BE-38FB08EDCFA5}"/>
    <cellStyle name="Hyperlink 2" xfId="4" xr:uid="{00000000-0005-0000-0000-000002000000}"/>
    <cellStyle name="Normal 2" xfId="2" xr:uid="{00000000-0005-0000-0000-000004000000}"/>
    <cellStyle name="Normal 2 2" xfId="7" xr:uid="{00000000-0005-0000-0000-000005000000}"/>
    <cellStyle name="Normal 2 3" xfId="9" xr:uid="{00000000-0005-0000-0000-000006000000}"/>
    <cellStyle name="Normal 2 4" xfId="14" xr:uid="{00000000-0005-0000-0000-000007000000}"/>
    <cellStyle name="Normal 26" xfId="1" xr:uid="{00000000-0005-0000-0000-000008000000}"/>
    <cellStyle name="Normal 3" xfId="5" xr:uid="{00000000-0005-0000-0000-000009000000}"/>
    <cellStyle name="Normal 3 2" xfId="12" xr:uid="{00000000-0005-0000-0000-00000A000000}"/>
    <cellStyle name="Normal 4" xfId="8" xr:uid="{00000000-0005-0000-0000-00000B000000}"/>
    <cellStyle name="Normal 4 2" xfId="15" xr:uid="{E341E055-DA22-4274-9355-05F8E564A5EA}"/>
    <cellStyle name="Normal 5" xfId="13" xr:uid="{00000000-0005-0000-0000-00000C000000}"/>
    <cellStyle name="Normal 5 2" xfId="17" xr:uid="{EA2387B9-A177-4C09-BE8B-5DEE09D1196A}"/>
    <cellStyle name="Normal 7" xfId="10" xr:uid="{00000000-0005-0000-0000-00000D000000}"/>
    <cellStyle name="Normal 9" xfId="11" xr:uid="{00000000-0005-0000-0000-00000E000000}"/>
    <cellStyle name="Обычный" xfId="0" builtinId="0"/>
    <cellStyle name="標準_DP&amp;DC Run hrs" xfId="6" xr:uid="{00000000-0005-0000-0000-00000F000000}"/>
  </cellStyles>
  <dxfs count="0"/>
  <tableStyles count="0" defaultTableStyle="TableStyleMedium2" defaultPivotStyle="PivotStyleLight16"/>
  <colors>
    <mruColors>
      <color rgb="FF2F75B5"/>
      <color rgb="FFFFD966"/>
      <color rgb="FF548235"/>
      <color rgb="FFAC0000"/>
      <color rgb="FF017362"/>
      <color rgb="FF66FED6"/>
      <color rgb="FF1E3270"/>
      <color rgb="FF01F1B2"/>
      <color rgb="FF01E1A6"/>
      <color rgb="FF01D9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VW734"/>
  <sheetViews>
    <sheetView tabSelected="1" zoomScale="130" zoomScaleNormal="130" zoomScaleSheetLayoutView="130" workbookViewId="0">
      <pane ySplit="1" topLeftCell="A156" activePane="bottomLeft" state="frozen"/>
      <selection pane="bottomLeft" activeCell="I172" sqref="I172:J172"/>
    </sheetView>
  </sheetViews>
  <sheetFormatPr defaultColWidth="0" defaultRowHeight="15" zeroHeight="1"/>
  <cols>
    <col min="1" max="1" width="4.42578125" style="26" customWidth="1"/>
    <col min="2" max="2" width="13.5703125" style="27" customWidth="1"/>
    <col min="3" max="3" width="4.7109375" style="28" customWidth="1"/>
    <col min="4" max="4" width="9.85546875" style="23" customWidth="1"/>
    <col min="5" max="5" width="9.140625" style="23" customWidth="1"/>
    <col min="6" max="8" width="10.42578125" style="23" customWidth="1"/>
    <col min="9" max="9" width="17.140625" style="3" customWidth="1"/>
    <col min="10" max="10" width="15.42578125" style="26" customWidth="1"/>
    <col min="11" max="11" width="9.28515625" style="6" hidden="1"/>
    <col min="12" max="19" width="7.85546875" style="6" hidden="1"/>
    <col min="20" max="256" width="11.42578125" style="6" hidden="1"/>
    <col min="257" max="257" width="0.7109375" style="6" hidden="1"/>
    <col min="258" max="258" width="10.7109375" style="6" hidden="1"/>
    <col min="259" max="259" width="5.140625" style="6" hidden="1"/>
    <col min="260" max="260" width="10.140625" style="6" hidden="1"/>
    <col min="261" max="261" width="7.7109375" style="6" hidden="1"/>
    <col min="262" max="262" width="8" style="6" hidden="1"/>
    <col min="263" max="263" width="9.85546875" style="6" hidden="1"/>
    <col min="264" max="264" width="8.42578125" style="6" hidden="1"/>
    <col min="265" max="265" width="10.5703125" style="6" hidden="1"/>
    <col min="266" max="266" width="12.7109375" style="6" hidden="1"/>
    <col min="267" max="267" width="10" style="6" hidden="1"/>
    <col min="268" max="268" width="14" style="6" hidden="1"/>
    <col min="269" max="269" width="11.5703125" style="6" hidden="1"/>
    <col min="270" max="270" width="8.140625" style="6" hidden="1"/>
    <col min="271" max="271" width="7.7109375" style="6" hidden="1"/>
    <col min="272" max="512" width="11.42578125" style="6" hidden="1"/>
    <col min="513" max="513" width="0.7109375" style="6" hidden="1"/>
    <col min="514" max="514" width="10.7109375" style="6" hidden="1"/>
    <col min="515" max="515" width="5.140625" style="6" hidden="1"/>
    <col min="516" max="516" width="10.140625" style="6" hidden="1"/>
    <col min="517" max="517" width="7.7109375" style="6" hidden="1"/>
    <col min="518" max="518" width="8" style="6" hidden="1"/>
    <col min="519" max="519" width="9.85546875" style="6" hidden="1"/>
    <col min="520" max="520" width="8.42578125" style="6" hidden="1"/>
    <col min="521" max="521" width="10.5703125" style="6" hidden="1"/>
    <col min="522" max="522" width="12.7109375" style="6" hidden="1"/>
    <col min="523" max="523" width="10" style="6" hidden="1"/>
    <col min="524" max="524" width="14" style="6" hidden="1"/>
    <col min="525" max="525" width="11.5703125" style="6" hidden="1"/>
    <col min="526" max="526" width="8.140625" style="6" hidden="1"/>
    <col min="527" max="527" width="7.7109375" style="6" hidden="1"/>
    <col min="528" max="768" width="11.42578125" style="6" hidden="1"/>
    <col min="769" max="769" width="0.7109375" style="6" hidden="1"/>
    <col min="770" max="770" width="10.7109375" style="6" hidden="1"/>
    <col min="771" max="771" width="5.140625" style="6" hidden="1"/>
    <col min="772" max="772" width="10.140625" style="6" hidden="1"/>
    <col min="773" max="773" width="7.7109375" style="6" hidden="1"/>
    <col min="774" max="774" width="8" style="6" hidden="1"/>
    <col min="775" max="775" width="9.85546875" style="6" hidden="1"/>
    <col min="776" max="776" width="8.42578125" style="6" hidden="1"/>
    <col min="777" max="777" width="10.5703125" style="6" hidden="1"/>
    <col min="778" max="778" width="12.7109375" style="6" hidden="1"/>
    <col min="779" max="779" width="10" style="6" hidden="1"/>
    <col min="780" max="780" width="14" style="6" hidden="1"/>
    <col min="781" max="781" width="11.5703125" style="6" hidden="1"/>
    <col min="782" max="782" width="8.140625" style="6" hidden="1"/>
    <col min="783" max="783" width="7.7109375" style="6" hidden="1"/>
    <col min="784" max="1024" width="11.42578125" style="6" hidden="1"/>
    <col min="1025" max="1025" width="0.7109375" style="6" hidden="1"/>
    <col min="1026" max="1026" width="10.7109375" style="6" hidden="1"/>
    <col min="1027" max="1027" width="5.140625" style="6" hidden="1"/>
    <col min="1028" max="1028" width="10.140625" style="6" hidden="1"/>
    <col min="1029" max="1029" width="7.7109375" style="6" hidden="1"/>
    <col min="1030" max="1030" width="8" style="6" hidden="1"/>
    <col min="1031" max="1031" width="9.85546875" style="6" hidden="1"/>
    <col min="1032" max="1032" width="8.42578125" style="6" hidden="1"/>
    <col min="1033" max="1033" width="10.5703125" style="6" hidden="1"/>
    <col min="1034" max="1034" width="12.7109375" style="6" hidden="1"/>
    <col min="1035" max="1035" width="10" style="6" hidden="1"/>
    <col min="1036" max="1036" width="14" style="6" hidden="1"/>
    <col min="1037" max="1037" width="11.5703125" style="6" hidden="1"/>
    <col min="1038" max="1038" width="8.140625" style="6" hidden="1"/>
    <col min="1039" max="1039" width="7.7109375" style="6" hidden="1"/>
    <col min="1040" max="1280" width="11.42578125" style="6" hidden="1"/>
    <col min="1281" max="1281" width="0.7109375" style="6" hidden="1"/>
    <col min="1282" max="1282" width="10.7109375" style="6" hidden="1"/>
    <col min="1283" max="1283" width="5.140625" style="6" hidden="1"/>
    <col min="1284" max="1284" width="10.140625" style="6" hidden="1"/>
    <col min="1285" max="1285" width="7.7109375" style="6" hidden="1"/>
    <col min="1286" max="1286" width="8" style="6" hidden="1"/>
    <col min="1287" max="1287" width="9.85546875" style="6" hidden="1"/>
    <col min="1288" max="1288" width="8.42578125" style="6" hidden="1"/>
    <col min="1289" max="1289" width="10.5703125" style="6" hidden="1"/>
    <col min="1290" max="1290" width="12.7109375" style="6" hidden="1"/>
    <col min="1291" max="1291" width="10" style="6" hidden="1"/>
    <col min="1292" max="1292" width="14" style="6" hidden="1"/>
    <col min="1293" max="1293" width="11.5703125" style="6" hidden="1"/>
    <col min="1294" max="1294" width="8.140625" style="6" hidden="1"/>
    <col min="1295" max="1295" width="7.7109375" style="6" hidden="1"/>
    <col min="1296" max="1536" width="11.42578125" style="6" hidden="1"/>
    <col min="1537" max="1537" width="0.7109375" style="6" hidden="1"/>
    <col min="1538" max="1538" width="10.7109375" style="6" hidden="1"/>
    <col min="1539" max="1539" width="5.140625" style="6" hidden="1"/>
    <col min="1540" max="1540" width="10.140625" style="6" hidden="1"/>
    <col min="1541" max="1541" width="7.7109375" style="6" hidden="1"/>
    <col min="1542" max="1542" width="8" style="6" hidden="1"/>
    <col min="1543" max="1543" width="9.85546875" style="6" hidden="1"/>
    <col min="1544" max="1544" width="8.42578125" style="6" hidden="1"/>
    <col min="1545" max="1545" width="10.5703125" style="6" hidden="1"/>
    <col min="1546" max="1546" width="12.7109375" style="6" hidden="1"/>
    <col min="1547" max="1547" width="10" style="6" hidden="1"/>
    <col min="1548" max="1548" width="14" style="6" hidden="1"/>
    <col min="1549" max="1549" width="11.5703125" style="6" hidden="1"/>
    <col min="1550" max="1550" width="8.140625" style="6" hidden="1"/>
    <col min="1551" max="1551" width="7.7109375" style="6" hidden="1"/>
    <col min="1552" max="1792" width="11.42578125" style="6" hidden="1"/>
    <col min="1793" max="1793" width="0.7109375" style="6" hidden="1"/>
    <col min="1794" max="1794" width="10.7109375" style="6" hidden="1"/>
    <col min="1795" max="1795" width="5.140625" style="6" hidden="1"/>
    <col min="1796" max="1796" width="10.140625" style="6" hidden="1"/>
    <col min="1797" max="1797" width="7.7109375" style="6" hidden="1"/>
    <col min="1798" max="1798" width="8" style="6" hidden="1"/>
    <col min="1799" max="1799" width="9.85546875" style="6" hidden="1"/>
    <col min="1800" max="1800" width="8.42578125" style="6" hidden="1"/>
    <col min="1801" max="1801" width="10.5703125" style="6" hidden="1"/>
    <col min="1802" max="1802" width="12.7109375" style="6" hidden="1"/>
    <col min="1803" max="1803" width="10" style="6" hidden="1"/>
    <col min="1804" max="1804" width="14" style="6" hidden="1"/>
    <col min="1805" max="1805" width="11.5703125" style="6" hidden="1"/>
    <col min="1806" max="1806" width="8.140625" style="6" hidden="1"/>
    <col min="1807" max="1807" width="7.7109375" style="6" hidden="1"/>
    <col min="1808" max="2048" width="11.42578125" style="6" hidden="1"/>
    <col min="2049" max="2049" width="0.7109375" style="6" hidden="1"/>
    <col min="2050" max="2050" width="10.7109375" style="6" hidden="1"/>
    <col min="2051" max="2051" width="5.140625" style="6" hidden="1"/>
    <col min="2052" max="2052" width="10.140625" style="6" hidden="1"/>
    <col min="2053" max="2053" width="7.7109375" style="6" hidden="1"/>
    <col min="2054" max="2054" width="8" style="6" hidden="1"/>
    <col min="2055" max="2055" width="9.85546875" style="6" hidden="1"/>
    <col min="2056" max="2056" width="8.42578125" style="6" hidden="1"/>
    <col min="2057" max="2057" width="10.5703125" style="6" hidden="1"/>
    <col min="2058" max="2058" width="12.7109375" style="6" hidden="1"/>
    <col min="2059" max="2059" width="10" style="6" hidden="1"/>
    <col min="2060" max="2060" width="14" style="6" hidden="1"/>
    <col min="2061" max="2061" width="11.5703125" style="6" hidden="1"/>
    <col min="2062" max="2062" width="8.140625" style="6" hidden="1"/>
    <col min="2063" max="2063" width="7.7109375" style="6" hidden="1"/>
    <col min="2064" max="2304" width="11.42578125" style="6" hidden="1"/>
    <col min="2305" max="2305" width="0.7109375" style="6" hidden="1"/>
    <col min="2306" max="2306" width="10.7109375" style="6" hidden="1"/>
    <col min="2307" max="2307" width="5.140625" style="6" hidden="1"/>
    <col min="2308" max="2308" width="10.140625" style="6" hidden="1"/>
    <col min="2309" max="2309" width="7.7109375" style="6" hidden="1"/>
    <col min="2310" max="2310" width="8" style="6" hidden="1"/>
    <col min="2311" max="2311" width="9.85546875" style="6" hidden="1"/>
    <col min="2312" max="2312" width="8.42578125" style="6" hidden="1"/>
    <col min="2313" max="2313" width="10.5703125" style="6" hidden="1"/>
    <col min="2314" max="2314" width="12.7109375" style="6" hidden="1"/>
    <col min="2315" max="2315" width="10" style="6" hidden="1"/>
    <col min="2316" max="2316" width="14" style="6" hidden="1"/>
    <col min="2317" max="2317" width="11.5703125" style="6" hidden="1"/>
    <col min="2318" max="2318" width="8.140625" style="6" hidden="1"/>
    <col min="2319" max="2319" width="7.7109375" style="6" hidden="1"/>
    <col min="2320" max="2560" width="11.42578125" style="6" hidden="1"/>
    <col min="2561" max="2561" width="0.7109375" style="6" hidden="1"/>
    <col min="2562" max="2562" width="10.7109375" style="6" hidden="1"/>
    <col min="2563" max="2563" width="5.140625" style="6" hidden="1"/>
    <col min="2564" max="2564" width="10.140625" style="6" hidden="1"/>
    <col min="2565" max="2565" width="7.7109375" style="6" hidden="1"/>
    <col min="2566" max="2566" width="8" style="6" hidden="1"/>
    <col min="2567" max="2567" width="9.85546875" style="6" hidden="1"/>
    <col min="2568" max="2568" width="8.42578125" style="6" hidden="1"/>
    <col min="2569" max="2569" width="10.5703125" style="6" hidden="1"/>
    <col min="2570" max="2570" width="12.7109375" style="6" hidden="1"/>
    <col min="2571" max="2571" width="10" style="6" hidden="1"/>
    <col min="2572" max="2572" width="14" style="6" hidden="1"/>
    <col min="2573" max="2573" width="11.5703125" style="6" hidden="1"/>
    <col min="2574" max="2574" width="8.140625" style="6" hidden="1"/>
    <col min="2575" max="2575" width="7.7109375" style="6" hidden="1"/>
    <col min="2576" max="2816" width="11.42578125" style="6" hidden="1"/>
    <col min="2817" max="2817" width="0.7109375" style="6" hidden="1"/>
    <col min="2818" max="2818" width="10.7109375" style="6" hidden="1"/>
    <col min="2819" max="2819" width="5.140625" style="6" hidden="1"/>
    <col min="2820" max="2820" width="10.140625" style="6" hidden="1"/>
    <col min="2821" max="2821" width="7.7109375" style="6" hidden="1"/>
    <col min="2822" max="2822" width="8" style="6" hidden="1"/>
    <col min="2823" max="2823" width="9.85546875" style="6" hidden="1"/>
    <col min="2824" max="2824" width="8.42578125" style="6" hidden="1"/>
    <col min="2825" max="2825" width="10.5703125" style="6" hidden="1"/>
    <col min="2826" max="2826" width="12.7109375" style="6" hidden="1"/>
    <col min="2827" max="2827" width="10" style="6" hidden="1"/>
    <col min="2828" max="2828" width="14" style="6" hidden="1"/>
    <col min="2829" max="2829" width="11.5703125" style="6" hidden="1"/>
    <col min="2830" max="2830" width="8.140625" style="6" hidden="1"/>
    <col min="2831" max="2831" width="7.7109375" style="6" hidden="1"/>
    <col min="2832" max="3072" width="11.42578125" style="6" hidden="1"/>
    <col min="3073" max="3073" width="0.7109375" style="6" hidden="1"/>
    <col min="3074" max="3074" width="10.7109375" style="6" hidden="1"/>
    <col min="3075" max="3075" width="5.140625" style="6" hidden="1"/>
    <col min="3076" max="3076" width="10.140625" style="6" hidden="1"/>
    <col min="3077" max="3077" width="7.7109375" style="6" hidden="1"/>
    <col min="3078" max="3078" width="8" style="6" hidden="1"/>
    <col min="3079" max="3079" width="9.85546875" style="6" hidden="1"/>
    <col min="3080" max="3080" width="8.42578125" style="6" hidden="1"/>
    <col min="3081" max="3081" width="10.5703125" style="6" hidden="1"/>
    <col min="3082" max="3082" width="12.7109375" style="6" hidden="1"/>
    <col min="3083" max="3083" width="10" style="6" hidden="1"/>
    <col min="3084" max="3084" width="14" style="6" hidden="1"/>
    <col min="3085" max="3085" width="11.5703125" style="6" hidden="1"/>
    <col min="3086" max="3086" width="8.140625" style="6" hidden="1"/>
    <col min="3087" max="3087" width="7.7109375" style="6" hidden="1"/>
    <col min="3088" max="3328" width="11.42578125" style="6" hidden="1"/>
    <col min="3329" max="3329" width="0.7109375" style="6" hidden="1"/>
    <col min="3330" max="3330" width="10.7109375" style="6" hidden="1"/>
    <col min="3331" max="3331" width="5.140625" style="6" hidden="1"/>
    <col min="3332" max="3332" width="10.140625" style="6" hidden="1"/>
    <col min="3333" max="3333" width="7.7109375" style="6" hidden="1"/>
    <col min="3334" max="3334" width="8" style="6" hidden="1"/>
    <col min="3335" max="3335" width="9.85546875" style="6" hidden="1"/>
    <col min="3336" max="3336" width="8.42578125" style="6" hidden="1"/>
    <col min="3337" max="3337" width="10.5703125" style="6" hidden="1"/>
    <col min="3338" max="3338" width="12.7109375" style="6" hidden="1"/>
    <col min="3339" max="3339" width="10" style="6" hidden="1"/>
    <col min="3340" max="3340" width="14" style="6" hidden="1"/>
    <col min="3341" max="3341" width="11.5703125" style="6" hidden="1"/>
    <col min="3342" max="3342" width="8.140625" style="6" hidden="1"/>
    <col min="3343" max="3343" width="7.7109375" style="6" hidden="1"/>
    <col min="3344" max="3584" width="11.42578125" style="6" hidden="1"/>
    <col min="3585" max="3585" width="0.7109375" style="6" hidden="1"/>
    <col min="3586" max="3586" width="10.7109375" style="6" hidden="1"/>
    <col min="3587" max="3587" width="5.140625" style="6" hidden="1"/>
    <col min="3588" max="3588" width="10.140625" style="6" hidden="1"/>
    <col min="3589" max="3589" width="7.7109375" style="6" hidden="1"/>
    <col min="3590" max="3590" width="8" style="6" hidden="1"/>
    <col min="3591" max="3591" width="9.85546875" style="6" hidden="1"/>
    <col min="3592" max="3592" width="8.42578125" style="6" hidden="1"/>
    <col min="3593" max="3593" width="10.5703125" style="6" hidden="1"/>
    <col min="3594" max="3594" width="12.7109375" style="6" hidden="1"/>
    <col min="3595" max="3595" width="10" style="6" hidden="1"/>
    <col min="3596" max="3596" width="14" style="6" hidden="1"/>
    <col min="3597" max="3597" width="11.5703125" style="6" hidden="1"/>
    <col min="3598" max="3598" width="8.140625" style="6" hidden="1"/>
    <col min="3599" max="3599" width="7.7109375" style="6" hidden="1"/>
    <col min="3600" max="3840" width="11.42578125" style="6" hidden="1"/>
    <col min="3841" max="3841" width="0.7109375" style="6" hidden="1"/>
    <col min="3842" max="3842" width="10.7109375" style="6" hidden="1"/>
    <col min="3843" max="3843" width="5.140625" style="6" hidden="1"/>
    <col min="3844" max="3844" width="10.140625" style="6" hidden="1"/>
    <col min="3845" max="3845" width="7.7109375" style="6" hidden="1"/>
    <col min="3846" max="3846" width="8" style="6" hidden="1"/>
    <col min="3847" max="3847" width="9.85546875" style="6" hidden="1"/>
    <col min="3848" max="3848" width="8.42578125" style="6" hidden="1"/>
    <col min="3849" max="3849" width="10.5703125" style="6" hidden="1"/>
    <col min="3850" max="3850" width="12.7109375" style="6" hidden="1"/>
    <col min="3851" max="3851" width="10" style="6" hidden="1"/>
    <col min="3852" max="3852" width="14" style="6" hidden="1"/>
    <col min="3853" max="3853" width="11.5703125" style="6" hidden="1"/>
    <col min="3854" max="3854" width="8.140625" style="6" hidden="1"/>
    <col min="3855" max="3855" width="7.7109375" style="6" hidden="1"/>
    <col min="3856" max="4096" width="11.42578125" style="6" hidden="1"/>
    <col min="4097" max="4097" width="0.7109375" style="6" hidden="1"/>
    <col min="4098" max="4098" width="10.7109375" style="6" hidden="1"/>
    <col min="4099" max="4099" width="5.140625" style="6" hidden="1"/>
    <col min="4100" max="4100" width="10.140625" style="6" hidden="1"/>
    <col min="4101" max="4101" width="7.7109375" style="6" hidden="1"/>
    <col min="4102" max="4102" width="8" style="6" hidden="1"/>
    <col min="4103" max="4103" width="9.85546875" style="6" hidden="1"/>
    <col min="4104" max="4104" width="8.42578125" style="6" hidden="1"/>
    <col min="4105" max="4105" width="10.5703125" style="6" hidden="1"/>
    <col min="4106" max="4106" width="12.7109375" style="6" hidden="1"/>
    <col min="4107" max="4107" width="10" style="6" hidden="1"/>
    <col min="4108" max="4108" width="14" style="6" hidden="1"/>
    <col min="4109" max="4109" width="11.5703125" style="6" hidden="1"/>
    <col min="4110" max="4110" width="8.140625" style="6" hidden="1"/>
    <col min="4111" max="4111" width="7.7109375" style="6" hidden="1"/>
    <col min="4112" max="4352" width="11.42578125" style="6" hidden="1"/>
    <col min="4353" max="4353" width="0.7109375" style="6" hidden="1"/>
    <col min="4354" max="4354" width="10.7109375" style="6" hidden="1"/>
    <col min="4355" max="4355" width="5.140625" style="6" hidden="1"/>
    <col min="4356" max="4356" width="10.140625" style="6" hidden="1"/>
    <col min="4357" max="4357" width="7.7109375" style="6" hidden="1"/>
    <col min="4358" max="4358" width="8" style="6" hidden="1"/>
    <col min="4359" max="4359" width="9.85546875" style="6" hidden="1"/>
    <col min="4360" max="4360" width="8.42578125" style="6" hidden="1"/>
    <col min="4361" max="4361" width="10.5703125" style="6" hidden="1"/>
    <col min="4362" max="4362" width="12.7109375" style="6" hidden="1"/>
    <col min="4363" max="4363" width="10" style="6" hidden="1"/>
    <col min="4364" max="4364" width="14" style="6" hidden="1"/>
    <col min="4365" max="4365" width="11.5703125" style="6" hidden="1"/>
    <col min="4366" max="4366" width="8.140625" style="6" hidden="1"/>
    <col min="4367" max="4367" width="7.7109375" style="6" hidden="1"/>
    <col min="4368" max="4608" width="11.42578125" style="6" hidden="1"/>
    <col min="4609" max="4609" width="0.7109375" style="6" hidden="1"/>
    <col min="4610" max="4610" width="10.7109375" style="6" hidden="1"/>
    <col min="4611" max="4611" width="5.140625" style="6" hidden="1"/>
    <col min="4612" max="4612" width="10.140625" style="6" hidden="1"/>
    <col min="4613" max="4613" width="7.7109375" style="6" hidden="1"/>
    <col min="4614" max="4614" width="8" style="6" hidden="1"/>
    <col min="4615" max="4615" width="9.85546875" style="6" hidden="1"/>
    <col min="4616" max="4616" width="8.42578125" style="6" hidden="1"/>
    <col min="4617" max="4617" width="10.5703125" style="6" hidden="1"/>
    <col min="4618" max="4618" width="12.7109375" style="6" hidden="1"/>
    <col min="4619" max="4619" width="10" style="6" hidden="1"/>
    <col min="4620" max="4620" width="14" style="6" hidden="1"/>
    <col min="4621" max="4621" width="11.5703125" style="6" hidden="1"/>
    <col min="4622" max="4622" width="8.140625" style="6" hidden="1"/>
    <col min="4623" max="4623" width="7.7109375" style="6" hidden="1"/>
    <col min="4624" max="4864" width="11.42578125" style="6" hidden="1"/>
    <col min="4865" max="4865" width="0.7109375" style="6" hidden="1"/>
    <col min="4866" max="4866" width="10.7109375" style="6" hidden="1"/>
    <col min="4867" max="4867" width="5.140625" style="6" hidden="1"/>
    <col min="4868" max="4868" width="10.140625" style="6" hidden="1"/>
    <col min="4869" max="4869" width="7.7109375" style="6" hidden="1"/>
    <col min="4870" max="4870" width="8" style="6" hidden="1"/>
    <col min="4871" max="4871" width="9.85546875" style="6" hidden="1"/>
    <col min="4872" max="4872" width="8.42578125" style="6" hidden="1"/>
    <col min="4873" max="4873" width="10.5703125" style="6" hidden="1"/>
    <col min="4874" max="4874" width="12.7109375" style="6" hidden="1"/>
    <col min="4875" max="4875" width="10" style="6" hidden="1"/>
    <col min="4876" max="4876" width="14" style="6" hidden="1"/>
    <col min="4877" max="4877" width="11.5703125" style="6" hidden="1"/>
    <col min="4878" max="4878" width="8.140625" style="6" hidden="1"/>
    <col min="4879" max="4879" width="7.7109375" style="6" hidden="1"/>
    <col min="4880" max="5120" width="11.42578125" style="6" hidden="1"/>
    <col min="5121" max="5121" width="0.7109375" style="6" hidden="1"/>
    <col min="5122" max="5122" width="10.7109375" style="6" hidden="1"/>
    <col min="5123" max="5123" width="5.140625" style="6" hidden="1"/>
    <col min="5124" max="5124" width="10.140625" style="6" hidden="1"/>
    <col min="5125" max="5125" width="7.7109375" style="6" hidden="1"/>
    <col min="5126" max="5126" width="8" style="6" hidden="1"/>
    <col min="5127" max="5127" width="9.85546875" style="6" hidden="1"/>
    <col min="5128" max="5128" width="8.42578125" style="6" hidden="1"/>
    <col min="5129" max="5129" width="10.5703125" style="6" hidden="1"/>
    <col min="5130" max="5130" width="12.7109375" style="6" hidden="1"/>
    <col min="5131" max="5131" width="10" style="6" hidden="1"/>
    <col min="5132" max="5132" width="14" style="6" hidden="1"/>
    <col min="5133" max="5133" width="11.5703125" style="6" hidden="1"/>
    <col min="5134" max="5134" width="8.140625" style="6" hidden="1"/>
    <col min="5135" max="5135" width="7.7109375" style="6" hidden="1"/>
    <col min="5136" max="5376" width="11.42578125" style="6" hidden="1"/>
    <col min="5377" max="5377" width="0.7109375" style="6" hidden="1"/>
    <col min="5378" max="5378" width="10.7109375" style="6" hidden="1"/>
    <col min="5379" max="5379" width="5.140625" style="6" hidden="1"/>
    <col min="5380" max="5380" width="10.140625" style="6" hidden="1"/>
    <col min="5381" max="5381" width="7.7109375" style="6" hidden="1"/>
    <col min="5382" max="5382" width="8" style="6" hidden="1"/>
    <col min="5383" max="5383" width="9.85546875" style="6" hidden="1"/>
    <col min="5384" max="5384" width="8.42578125" style="6" hidden="1"/>
    <col min="5385" max="5385" width="10.5703125" style="6" hidden="1"/>
    <col min="5386" max="5386" width="12.7109375" style="6" hidden="1"/>
    <col min="5387" max="5387" width="10" style="6" hidden="1"/>
    <col min="5388" max="5388" width="14" style="6" hidden="1"/>
    <col min="5389" max="5389" width="11.5703125" style="6" hidden="1"/>
    <col min="5390" max="5390" width="8.140625" style="6" hidden="1"/>
    <col min="5391" max="5391" width="7.7109375" style="6" hidden="1"/>
    <col min="5392" max="5632" width="11.42578125" style="6" hidden="1"/>
    <col min="5633" max="5633" width="0.7109375" style="6" hidden="1"/>
    <col min="5634" max="5634" width="10.7109375" style="6" hidden="1"/>
    <col min="5635" max="5635" width="5.140625" style="6" hidden="1"/>
    <col min="5636" max="5636" width="10.140625" style="6" hidden="1"/>
    <col min="5637" max="5637" width="7.7109375" style="6" hidden="1"/>
    <col min="5638" max="5638" width="8" style="6" hidden="1"/>
    <col min="5639" max="5639" width="9.85546875" style="6" hidden="1"/>
    <col min="5640" max="5640" width="8.42578125" style="6" hidden="1"/>
    <col min="5641" max="5641" width="10.5703125" style="6" hidden="1"/>
    <col min="5642" max="5642" width="12.7109375" style="6" hidden="1"/>
    <col min="5643" max="5643" width="10" style="6" hidden="1"/>
    <col min="5644" max="5644" width="14" style="6" hidden="1"/>
    <col min="5645" max="5645" width="11.5703125" style="6" hidden="1"/>
    <col min="5646" max="5646" width="8.140625" style="6" hidden="1"/>
    <col min="5647" max="5647" width="7.7109375" style="6" hidden="1"/>
    <col min="5648" max="5888" width="11.42578125" style="6" hidden="1"/>
    <col min="5889" max="5889" width="0.7109375" style="6" hidden="1"/>
    <col min="5890" max="5890" width="10.7109375" style="6" hidden="1"/>
    <col min="5891" max="5891" width="5.140625" style="6" hidden="1"/>
    <col min="5892" max="5892" width="10.140625" style="6" hidden="1"/>
    <col min="5893" max="5893" width="7.7109375" style="6" hidden="1"/>
    <col min="5894" max="5894" width="8" style="6" hidden="1"/>
    <col min="5895" max="5895" width="9.85546875" style="6" hidden="1"/>
    <col min="5896" max="5896" width="8.42578125" style="6" hidden="1"/>
    <col min="5897" max="5897" width="10.5703125" style="6" hidden="1"/>
    <col min="5898" max="5898" width="12.7109375" style="6" hidden="1"/>
    <col min="5899" max="5899" width="10" style="6" hidden="1"/>
    <col min="5900" max="5900" width="14" style="6" hidden="1"/>
    <col min="5901" max="5901" width="11.5703125" style="6" hidden="1"/>
    <col min="5902" max="5902" width="8.140625" style="6" hidden="1"/>
    <col min="5903" max="5903" width="7.7109375" style="6" hidden="1"/>
    <col min="5904" max="6144" width="11.42578125" style="6" hidden="1"/>
    <col min="6145" max="6145" width="0.7109375" style="6" hidden="1"/>
    <col min="6146" max="6146" width="10.7109375" style="6" hidden="1"/>
    <col min="6147" max="6147" width="5.140625" style="6" hidden="1"/>
    <col min="6148" max="6148" width="10.140625" style="6" hidden="1"/>
    <col min="6149" max="6149" width="7.7109375" style="6" hidden="1"/>
    <col min="6150" max="6150" width="8" style="6" hidden="1"/>
    <col min="6151" max="6151" width="9.85546875" style="6" hidden="1"/>
    <col min="6152" max="6152" width="8.42578125" style="6" hidden="1"/>
    <col min="6153" max="6153" width="10.5703125" style="6" hidden="1"/>
    <col min="6154" max="6154" width="12.7109375" style="6" hidden="1"/>
    <col min="6155" max="6155" width="10" style="6" hidden="1"/>
    <col min="6156" max="6156" width="14" style="6" hidden="1"/>
    <col min="6157" max="6157" width="11.5703125" style="6" hidden="1"/>
    <col min="6158" max="6158" width="8.140625" style="6" hidden="1"/>
    <col min="6159" max="6159" width="7.7109375" style="6" hidden="1"/>
    <col min="6160" max="6400" width="11.42578125" style="6" hidden="1"/>
    <col min="6401" max="6401" width="0.7109375" style="6" hidden="1"/>
    <col min="6402" max="6402" width="10.7109375" style="6" hidden="1"/>
    <col min="6403" max="6403" width="5.140625" style="6" hidden="1"/>
    <col min="6404" max="6404" width="10.140625" style="6" hidden="1"/>
    <col min="6405" max="6405" width="7.7109375" style="6" hidden="1"/>
    <col min="6406" max="6406" width="8" style="6" hidden="1"/>
    <col min="6407" max="6407" width="9.85546875" style="6" hidden="1"/>
    <col min="6408" max="6408" width="8.42578125" style="6" hidden="1"/>
    <col min="6409" max="6409" width="10.5703125" style="6" hidden="1"/>
    <col min="6410" max="6410" width="12.7109375" style="6" hidden="1"/>
    <col min="6411" max="6411" width="10" style="6" hidden="1"/>
    <col min="6412" max="6412" width="14" style="6" hidden="1"/>
    <col min="6413" max="6413" width="11.5703125" style="6" hidden="1"/>
    <col min="6414" max="6414" width="8.140625" style="6" hidden="1"/>
    <col min="6415" max="6415" width="7.7109375" style="6" hidden="1"/>
    <col min="6416" max="6656" width="11.42578125" style="6" hidden="1"/>
    <col min="6657" max="6657" width="0.7109375" style="6" hidden="1"/>
    <col min="6658" max="6658" width="10.7109375" style="6" hidden="1"/>
    <col min="6659" max="6659" width="5.140625" style="6" hidden="1"/>
    <col min="6660" max="6660" width="10.140625" style="6" hidden="1"/>
    <col min="6661" max="6661" width="7.7109375" style="6" hidden="1"/>
    <col min="6662" max="6662" width="8" style="6" hidden="1"/>
    <col min="6663" max="6663" width="9.85546875" style="6" hidden="1"/>
    <col min="6664" max="6664" width="8.42578125" style="6" hidden="1"/>
    <col min="6665" max="6665" width="10.5703125" style="6" hidden="1"/>
    <col min="6666" max="6666" width="12.7109375" style="6" hidden="1"/>
    <col min="6667" max="6667" width="10" style="6" hidden="1"/>
    <col min="6668" max="6668" width="14" style="6" hidden="1"/>
    <col min="6669" max="6669" width="11.5703125" style="6" hidden="1"/>
    <col min="6670" max="6670" width="8.140625" style="6" hidden="1"/>
    <col min="6671" max="6671" width="7.7109375" style="6" hidden="1"/>
    <col min="6672" max="6912" width="11.42578125" style="6" hidden="1"/>
    <col min="6913" max="6913" width="0.7109375" style="6" hidden="1"/>
    <col min="6914" max="6914" width="10.7109375" style="6" hidden="1"/>
    <col min="6915" max="6915" width="5.140625" style="6" hidden="1"/>
    <col min="6916" max="6916" width="10.140625" style="6" hidden="1"/>
    <col min="6917" max="6917" width="7.7109375" style="6" hidden="1"/>
    <col min="6918" max="6918" width="8" style="6" hidden="1"/>
    <col min="6919" max="6919" width="9.85546875" style="6" hidden="1"/>
    <col min="6920" max="6920" width="8.42578125" style="6" hidden="1"/>
    <col min="6921" max="6921" width="10.5703125" style="6" hidden="1"/>
    <col min="6922" max="6922" width="12.7109375" style="6" hidden="1"/>
    <col min="6923" max="6923" width="10" style="6" hidden="1"/>
    <col min="6924" max="6924" width="14" style="6" hidden="1"/>
    <col min="6925" max="6925" width="11.5703125" style="6" hidden="1"/>
    <col min="6926" max="6926" width="8.140625" style="6" hidden="1"/>
    <col min="6927" max="6927" width="7.7109375" style="6" hidden="1"/>
    <col min="6928" max="7168" width="11.42578125" style="6" hidden="1"/>
    <col min="7169" max="7169" width="0.7109375" style="6" hidden="1"/>
    <col min="7170" max="7170" width="10.7109375" style="6" hidden="1"/>
    <col min="7171" max="7171" width="5.140625" style="6" hidden="1"/>
    <col min="7172" max="7172" width="10.140625" style="6" hidden="1"/>
    <col min="7173" max="7173" width="7.7109375" style="6" hidden="1"/>
    <col min="7174" max="7174" width="8" style="6" hidden="1"/>
    <col min="7175" max="7175" width="9.85546875" style="6" hidden="1"/>
    <col min="7176" max="7176" width="8.42578125" style="6" hidden="1"/>
    <col min="7177" max="7177" width="10.5703125" style="6" hidden="1"/>
    <col min="7178" max="7178" width="12.7109375" style="6" hidden="1"/>
    <col min="7179" max="7179" width="10" style="6" hidden="1"/>
    <col min="7180" max="7180" width="14" style="6" hidden="1"/>
    <col min="7181" max="7181" width="11.5703125" style="6" hidden="1"/>
    <col min="7182" max="7182" width="8.140625" style="6" hidden="1"/>
    <col min="7183" max="7183" width="7.7109375" style="6" hidden="1"/>
    <col min="7184" max="7424" width="11.42578125" style="6" hidden="1"/>
    <col min="7425" max="7425" width="0.7109375" style="6" hidden="1"/>
    <col min="7426" max="7426" width="10.7109375" style="6" hidden="1"/>
    <col min="7427" max="7427" width="5.140625" style="6" hidden="1"/>
    <col min="7428" max="7428" width="10.140625" style="6" hidden="1"/>
    <col min="7429" max="7429" width="7.7109375" style="6" hidden="1"/>
    <col min="7430" max="7430" width="8" style="6" hidden="1"/>
    <col min="7431" max="7431" width="9.85546875" style="6" hidden="1"/>
    <col min="7432" max="7432" width="8.42578125" style="6" hidden="1"/>
    <col min="7433" max="7433" width="10.5703125" style="6" hidden="1"/>
    <col min="7434" max="7434" width="12.7109375" style="6" hidden="1"/>
    <col min="7435" max="7435" width="10" style="6" hidden="1"/>
    <col min="7436" max="7436" width="14" style="6" hidden="1"/>
    <col min="7437" max="7437" width="11.5703125" style="6" hidden="1"/>
    <col min="7438" max="7438" width="8.140625" style="6" hidden="1"/>
    <col min="7439" max="7439" width="7.7109375" style="6" hidden="1"/>
    <col min="7440" max="7680" width="11.42578125" style="6" hidden="1"/>
    <col min="7681" max="7681" width="0.7109375" style="6" hidden="1"/>
    <col min="7682" max="7682" width="10.7109375" style="6" hidden="1"/>
    <col min="7683" max="7683" width="5.140625" style="6" hidden="1"/>
    <col min="7684" max="7684" width="10.140625" style="6" hidden="1"/>
    <col min="7685" max="7685" width="7.7109375" style="6" hidden="1"/>
    <col min="7686" max="7686" width="8" style="6" hidden="1"/>
    <col min="7687" max="7687" width="9.85546875" style="6" hidden="1"/>
    <col min="7688" max="7688" width="8.42578125" style="6" hidden="1"/>
    <col min="7689" max="7689" width="10.5703125" style="6" hidden="1"/>
    <col min="7690" max="7690" width="12.7109375" style="6" hidden="1"/>
    <col min="7691" max="7691" width="10" style="6" hidden="1"/>
    <col min="7692" max="7692" width="14" style="6" hidden="1"/>
    <col min="7693" max="7693" width="11.5703125" style="6" hidden="1"/>
    <col min="7694" max="7694" width="8.140625" style="6" hidden="1"/>
    <col min="7695" max="7695" width="7.7109375" style="6" hidden="1"/>
    <col min="7696" max="7936" width="11.42578125" style="6" hidden="1"/>
    <col min="7937" max="7937" width="0.7109375" style="6" hidden="1"/>
    <col min="7938" max="7938" width="10.7109375" style="6" hidden="1"/>
    <col min="7939" max="7939" width="5.140625" style="6" hidden="1"/>
    <col min="7940" max="7940" width="10.140625" style="6" hidden="1"/>
    <col min="7941" max="7941" width="7.7109375" style="6" hidden="1"/>
    <col min="7942" max="7942" width="8" style="6" hidden="1"/>
    <col min="7943" max="7943" width="9.85546875" style="6" hidden="1"/>
    <col min="7944" max="7944" width="8.42578125" style="6" hidden="1"/>
    <col min="7945" max="7945" width="10.5703125" style="6" hidden="1"/>
    <col min="7946" max="7946" width="12.7109375" style="6" hidden="1"/>
    <col min="7947" max="7947" width="10" style="6" hidden="1"/>
    <col min="7948" max="7948" width="14" style="6" hidden="1"/>
    <col min="7949" max="7949" width="11.5703125" style="6" hidden="1"/>
    <col min="7950" max="7950" width="8.140625" style="6" hidden="1"/>
    <col min="7951" max="7951" width="7.7109375" style="6" hidden="1"/>
    <col min="7952" max="8192" width="11.42578125" style="6" hidden="1"/>
    <col min="8193" max="8193" width="0.7109375" style="6" hidden="1"/>
    <col min="8194" max="8194" width="10.7109375" style="6" hidden="1"/>
    <col min="8195" max="8195" width="5.140625" style="6" hidden="1"/>
    <col min="8196" max="8196" width="10.140625" style="6" hidden="1"/>
    <col min="8197" max="8197" width="7.7109375" style="6" hidden="1"/>
    <col min="8198" max="8198" width="8" style="6" hidden="1"/>
    <col min="8199" max="8199" width="9.85546875" style="6" hidden="1"/>
    <col min="8200" max="8200" width="8.42578125" style="6" hidden="1"/>
    <col min="8201" max="8201" width="10.5703125" style="6" hidden="1"/>
    <col min="8202" max="8202" width="12.7109375" style="6" hidden="1"/>
    <col min="8203" max="8203" width="10" style="6" hidden="1"/>
    <col min="8204" max="8204" width="14" style="6" hidden="1"/>
    <col min="8205" max="8205" width="11.5703125" style="6" hidden="1"/>
    <col min="8206" max="8206" width="8.140625" style="6" hidden="1"/>
    <col min="8207" max="8207" width="7.7109375" style="6" hidden="1"/>
    <col min="8208" max="8448" width="11.42578125" style="6" hidden="1"/>
    <col min="8449" max="8449" width="0.7109375" style="6" hidden="1"/>
    <col min="8450" max="8450" width="10.7109375" style="6" hidden="1"/>
    <col min="8451" max="8451" width="5.140625" style="6" hidden="1"/>
    <col min="8452" max="8452" width="10.140625" style="6" hidden="1"/>
    <col min="8453" max="8453" width="7.7109375" style="6" hidden="1"/>
    <col min="8454" max="8454" width="8" style="6" hidden="1"/>
    <col min="8455" max="8455" width="9.85546875" style="6" hidden="1"/>
    <col min="8456" max="8456" width="8.42578125" style="6" hidden="1"/>
    <col min="8457" max="8457" width="10.5703125" style="6" hidden="1"/>
    <col min="8458" max="8458" width="12.7109375" style="6" hidden="1"/>
    <col min="8459" max="8459" width="10" style="6" hidden="1"/>
    <col min="8460" max="8460" width="14" style="6" hidden="1"/>
    <col min="8461" max="8461" width="11.5703125" style="6" hidden="1"/>
    <col min="8462" max="8462" width="8.140625" style="6" hidden="1"/>
    <col min="8463" max="8463" width="7.7109375" style="6" hidden="1"/>
    <col min="8464" max="8704" width="11.42578125" style="6" hidden="1"/>
    <col min="8705" max="8705" width="0.7109375" style="6" hidden="1"/>
    <col min="8706" max="8706" width="10.7109375" style="6" hidden="1"/>
    <col min="8707" max="8707" width="5.140625" style="6" hidden="1"/>
    <col min="8708" max="8708" width="10.140625" style="6" hidden="1"/>
    <col min="8709" max="8709" width="7.7109375" style="6" hidden="1"/>
    <col min="8710" max="8710" width="8" style="6" hidden="1"/>
    <col min="8711" max="8711" width="9.85546875" style="6" hidden="1"/>
    <col min="8712" max="8712" width="8.42578125" style="6" hidden="1"/>
    <col min="8713" max="8713" width="10.5703125" style="6" hidden="1"/>
    <col min="8714" max="8714" width="12.7109375" style="6" hidden="1"/>
    <col min="8715" max="8715" width="10" style="6" hidden="1"/>
    <col min="8716" max="8716" width="14" style="6" hidden="1"/>
    <col min="8717" max="8717" width="11.5703125" style="6" hidden="1"/>
    <col min="8718" max="8718" width="8.140625" style="6" hidden="1"/>
    <col min="8719" max="8719" width="7.7109375" style="6" hidden="1"/>
    <col min="8720" max="8960" width="11.42578125" style="6" hidden="1"/>
    <col min="8961" max="8961" width="0.7109375" style="6" hidden="1"/>
    <col min="8962" max="8962" width="10.7109375" style="6" hidden="1"/>
    <col min="8963" max="8963" width="5.140625" style="6" hidden="1"/>
    <col min="8964" max="8964" width="10.140625" style="6" hidden="1"/>
    <col min="8965" max="8965" width="7.7109375" style="6" hidden="1"/>
    <col min="8966" max="8966" width="8" style="6" hidden="1"/>
    <col min="8967" max="8967" width="9.85546875" style="6" hidden="1"/>
    <col min="8968" max="8968" width="8.42578125" style="6" hidden="1"/>
    <col min="8969" max="8969" width="10.5703125" style="6" hidden="1"/>
    <col min="8970" max="8970" width="12.7109375" style="6" hidden="1"/>
    <col min="8971" max="8971" width="10" style="6" hidden="1"/>
    <col min="8972" max="8972" width="14" style="6" hidden="1"/>
    <col min="8973" max="8973" width="11.5703125" style="6" hidden="1"/>
    <col min="8974" max="8974" width="8.140625" style="6" hidden="1"/>
    <col min="8975" max="8975" width="7.7109375" style="6" hidden="1"/>
    <col min="8976" max="9216" width="11.42578125" style="6" hidden="1"/>
    <col min="9217" max="9217" width="0.7109375" style="6" hidden="1"/>
    <col min="9218" max="9218" width="10.7109375" style="6" hidden="1"/>
    <col min="9219" max="9219" width="5.140625" style="6" hidden="1"/>
    <col min="9220" max="9220" width="10.140625" style="6" hidden="1"/>
    <col min="9221" max="9221" width="7.7109375" style="6" hidden="1"/>
    <col min="9222" max="9222" width="8" style="6" hidden="1"/>
    <col min="9223" max="9223" width="9.85546875" style="6" hidden="1"/>
    <col min="9224" max="9224" width="8.42578125" style="6" hidden="1"/>
    <col min="9225" max="9225" width="10.5703125" style="6" hidden="1"/>
    <col min="9226" max="9226" width="12.7109375" style="6" hidden="1"/>
    <col min="9227" max="9227" width="10" style="6" hidden="1"/>
    <col min="9228" max="9228" width="14" style="6" hidden="1"/>
    <col min="9229" max="9229" width="11.5703125" style="6" hidden="1"/>
    <col min="9230" max="9230" width="8.140625" style="6" hidden="1"/>
    <col min="9231" max="9231" width="7.7109375" style="6" hidden="1"/>
    <col min="9232" max="9472" width="11.42578125" style="6" hidden="1"/>
    <col min="9473" max="9473" width="0.7109375" style="6" hidden="1"/>
    <col min="9474" max="9474" width="10.7109375" style="6" hidden="1"/>
    <col min="9475" max="9475" width="5.140625" style="6" hidden="1"/>
    <col min="9476" max="9476" width="10.140625" style="6" hidden="1"/>
    <col min="9477" max="9477" width="7.7109375" style="6" hidden="1"/>
    <col min="9478" max="9478" width="8" style="6" hidden="1"/>
    <col min="9479" max="9479" width="9.85546875" style="6" hidden="1"/>
    <col min="9480" max="9480" width="8.42578125" style="6" hidden="1"/>
    <col min="9481" max="9481" width="10.5703125" style="6" hidden="1"/>
    <col min="9482" max="9482" width="12.7109375" style="6" hidden="1"/>
    <col min="9483" max="9483" width="10" style="6" hidden="1"/>
    <col min="9484" max="9484" width="14" style="6" hidden="1"/>
    <col min="9485" max="9485" width="11.5703125" style="6" hidden="1"/>
    <col min="9486" max="9486" width="8.140625" style="6" hidden="1"/>
    <col min="9487" max="9487" width="7.7109375" style="6" hidden="1"/>
    <col min="9488" max="9728" width="11.42578125" style="6" hidden="1"/>
    <col min="9729" max="9729" width="0.7109375" style="6" hidden="1"/>
    <col min="9730" max="9730" width="10.7109375" style="6" hidden="1"/>
    <col min="9731" max="9731" width="5.140625" style="6" hidden="1"/>
    <col min="9732" max="9732" width="10.140625" style="6" hidden="1"/>
    <col min="9733" max="9733" width="7.7109375" style="6" hidden="1"/>
    <col min="9734" max="9734" width="8" style="6" hidden="1"/>
    <col min="9735" max="9735" width="9.85546875" style="6" hidden="1"/>
    <col min="9736" max="9736" width="8.42578125" style="6" hidden="1"/>
    <col min="9737" max="9737" width="10.5703125" style="6" hidden="1"/>
    <col min="9738" max="9738" width="12.7109375" style="6" hidden="1"/>
    <col min="9739" max="9739" width="10" style="6" hidden="1"/>
    <col min="9740" max="9740" width="14" style="6" hidden="1"/>
    <col min="9741" max="9741" width="11.5703125" style="6" hidden="1"/>
    <col min="9742" max="9742" width="8.140625" style="6" hidden="1"/>
    <col min="9743" max="9743" width="7.7109375" style="6" hidden="1"/>
    <col min="9744" max="9984" width="11.42578125" style="6" hidden="1"/>
    <col min="9985" max="9985" width="0.7109375" style="6" hidden="1"/>
    <col min="9986" max="9986" width="10.7109375" style="6" hidden="1"/>
    <col min="9987" max="9987" width="5.140625" style="6" hidden="1"/>
    <col min="9988" max="9988" width="10.140625" style="6" hidden="1"/>
    <col min="9989" max="9989" width="7.7109375" style="6" hidden="1"/>
    <col min="9990" max="9990" width="8" style="6" hidden="1"/>
    <col min="9991" max="9991" width="9.85546875" style="6" hidden="1"/>
    <col min="9992" max="9992" width="8.42578125" style="6" hidden="1"/>
    <col min="9993" max="9993" width="10.5703125" style="6" hidden="1"/>
    <col min="9994" max="9994" width="12.7109375" style="6" hidden="1"/>
    <col min="9995" max="9995" width="10" style="6" hidden="1"/>
    <col min="9996" max="9996" width="14" style="6" hidden="1"/>
    <col min="9997" max="9997" width="11.5703125" style="6" hidden="1"/>
    <col min="9998" max="9998" width="8.140625" style="6" hidden="1"/>
    <col min="9999" max="9999" width="7.7109375" style="6" hidden="1"/>
    <col min="10000" max="10240" width="11.42578125" style="6" hidden="1"/>
    <col min="10241" max="10241" width="0.7109375" style="6" hidden="1"/>
    <col min="10242" max="10242" width="10.7109375" style="6" hidden="1"/>
    <col min="10243" max="10243" width="5.140625" style="6" hidden="1"/>
    <col min="10244" max="10244" width="10.140625" style="6" hidden="1"/>
    <col min="10245" max="10245" width="7.7109375" style="6" hidden="1"/>
    <col min="10246" max="10246" width="8" style="6" hidden="1"/>
    <col min="10247" max="10247" width="9.85546875" style="6" hidden="1"/>
    <col min="10248" max="10248" width="8.42578125" style="6" hidden="1"/>
    <col min="10249" max="10249" width="10.5703125" style="6" hidden="1"/>
    <col min="10250" max="10250" width="12.7109375" style="6" hidden="1"/>
    <col min="10251" max="10251" width="10" style="6" hidden="1"/>
    <col min="10252" max="10252" width="14" style="6" hidden="1"/>
    <col min="10253" max="10253" width="11.5703125" style="6" hidden="1"/>
    <col min="10254" max="10254" width="8.140625" style="6" hidden="1"/>
    <col min="10255" max="10255" width="7.7109375" style="6" hidden="1"/>
    <col min="10256" max="10496" width="11.42578125" style="6" hidden="1"/>
    <col min="10497" max="10497" width="0.7109375" style="6" hidden="1"/>
    <col min="10498" max="10498" width="10.7109375" style="6" hidden="1"/>
    <col min="10499" max="10499" width="5.140625" style="6" hidden="1"/>
    <col min="10500" max="10500" width="10.140625" style="6" hidden="1"/>
    <col min="10501" max="10501" width="7.7109375" style="6" hidden="1"/>
    <col min="10502" max="10502" width="8" style="6" hidden="1"/>
    <col min="10503" max="10503" width="9.85546875" style="6" hidden="1"/>
    <col min="10504" max="10504" width="8.42578125" style="6" hidden="1"/>
    <col min="10505" max="10505" width="10.5703125" style="6" hidden="1"/>
    <col min="10506" max="10506" width="12.7109375" style="6" hidden="1"/>
    <col min="10507" max="10507" width="10" style="6" hidden="1"/>
    <col min="10508" max="10508" width="14" style="6" hidden="1"/>
    <col min="10509" max="10509" width="11.5703125" style="6" hidden="1"/>
    <col min="10510" max="10510" width="8.140625" style="6" hidden="1"/>
    <col min="10511" max="10511" width="7.7109375" style="6" hidden="1"/>
    <col min="10512" max="10752" width="11.42578125" style="6" hidden="1"/>
    <col min="10753" max="10753" width="0.7109375" style="6" hidden="1"/>
    <col min="10754" max="10754" width="10.7109375" style="6" hidden="1"/>
    <col min="10755" max="10755" width="5.140625" style="6" hidden="1"/>
    <col min="10756" max="10756" width="10.140625" style="6" hidden="1"/>
    <col min="10757" max="10757" width="7.7109375" style="6" hidden="1"/>
    <col min="10758" max="10758" width="8" style="6" hidden="1"/>
    <col min="10759" max="10759" width="9.85546875" style="6" hidden="1"/>
    <col min="10760" max="10760" width="8.42578125" style="6" hidden="1"/>
    <col min="10761" max="10761" width="10.5703125" style="6" hidden="1"/>
    <col min="10762" max="10762" width="12.7109375" style="6" hidden="1"/>
    <col min="10763" max="10763" width="10" style="6" hidden="1"/>
    <col min="10764" max="10764" width="14" style="6" hidden="1"/>
    <col min="10765" max="10765" width="11.5703125" style="6" hidden="1"/>
    <col min="10766" max="10766" width="8.140625" style="6" hidden="1"/>
    <col min="10767" max="10767" width="7.7109375" style="6" hidden="1"/>
    <col min="10768" max="11008" width="11.42578125" style="6" hidden="1"/>
    <col min="11009" max="11009" width="0.7109375" style="6" hidden="1"/>
    <col min="11010" max="11010" width="10.7109375" style="6" hidden="1"/>
    <col min="11011" max="11011" width="5.140625" style="6" hidden="1"/>
    <col min="11012" max="11012" width="10.140625" style="6" hidden="1"/>
    <col min="11013" max="11013" width="7.7109375" style="6" hidden="1"/>
    <col min="11014" max="11014" width="8" style="6" hidden="1"/>
    <col min="11015" max="11015" width="9.85546875" style="6" hidden="1"/>
    <col min="11016" max="11016" width="8.42578125" style="6" hidden="1"/>
    <col min="11017" max="11017" width="10.5703125" style="6" hidden="1"/>
    <col min="11018" max="11018" width="12.7109375" style="6" hidden="1"/>
    <col min="11019" max="11019" width="10" style="6" hidden="1"/>
    <col min="11020" max="11020" width="14" style="6" hidden="1"/>
    <col min="11021" max="11021" width="11.5703125" style="6" hidden="1"/>
    <col min="11022" max="11022" width="8.140625" style="6" hidden="1"/>
    <col min="11023" max="11023" width="7.7109375" style="6" hidden="1"/>
    <col min="11024" max="11264" width="11.42578125" style="6" hidden="1"/>
    <col min="11265" max="11265" width="0.7109375" style="6" hidden="1"/>
    <col min="11266" max="11266" width="10.7109375" style="6" hidden="1"/>
    <col min="11267" max="11267" width="5.140625" style="6" hidden="1"/>
    <col min="11268" max="11268" width="10.140625" style="6" hidden="1"/>
    <col min="11269" max="11269" width="7.7109375" style="6" hidden="1"/>
    <col min="11270" max="11270" width="8" style="6" hidden="1"/>
    <col min="11271" max="11271" width="9.85546875" style="6" hidden="1"/>
    <col min="11272" max="11272" width="8.42578125" style="6" hidden="1"/>
    <col min="11273" max="11273" width="10.5703125" style="6" hidden="1"/>
    <col min="11274" max="11274" width="12.7109375" style="6" hidden="1"/>
    <col min="11275" max="11275" width="10" style="6" hidden="1"/>
    <col min="11276" max="11276" width="14" style="6" hidden="1"/>
    <col min="11277" max="11277" width="11.5703125" style="6" hidden="1"/>
    <col min="11278" max="11278" width="8.140625" style="6" hidden="1"/>
    <col min="11279" max="11279" width="7.7109375" style="6" hidden="1"/>
    <col min="11280" max="11520" width="11.42578125" style="6" hidden="1"/>
    <col min="11521" max="11521" width="0.7109375" style="6" hidden="1"/>
    <col min="11522" max="11522" width="10.7109375" style="6" hidden="1"/>
    <col min="11523" max="11523" width="5.140625" style="6" hidden="1"/>
    <col min="11524" max="11524" width="10.140625" style="6" hidden="1"/>
    <col min="11525" max="11525" width="7.7109375" style="6" hidden="1"/>
    <col min="11526" max="11526" width="8" style="6" hidden="1"/>
    <col min="11527" max="11527" width="9.85546875" style="6" hidden="1"/>
    <col min="11528" max="11528" width="8.42578125" style="6" hidden="1"/>
    <col min="11529" max="11529" width="10.5703125" style="6" hidden="1"/>
    <col min="11530" max="11530" width="12.7109375" style="6" hidden="1"/>
    <col min="11531" max="11531" width="10" style="6" hidden="1"/>
    <col min="11532" max="11532" width="14" style="6" hidden="1"/>
    <col min="11533" max="11533" width="11.5703125" style="6" hidden="1"/>
    <col min="11534" max="11534" width="8.140625" style="6" hidden="1"/>
    <col min="11535" max="11535" width="7.7109375" style="6" hidden="1"/>
    <col min="11536" max="11776" width="11.42578125" style="6" hidden="1"/>
    <col min="11777" max="11777" width="0.7109375" style="6" hidden="1"/>
    <col min="11778" max="11778" width="10.7109375" style="6" hidden="1"/>
    <col min="11779" max="11779" width="5.140625" style="6" hidden="1"/>
    <col min="11780" max="11780" width="10.140625" style="6" hidden="1"/>
    <col min="11781" max="11781" width="7.7109375" style="6" hidden="1"/>
    <col min="11782" max="11782" width="8" style="6" hidden="1"/>
    <col min="11783" max="11783" width="9.85546875" style="6" hidden="1"/>
    <col min="11784" max="11784" width="8.42578125" style="6" hidden="1"/>
    <col min="11785" max="11785" width="10.5703125" style="6" hidden="1"/>
    <col min="11786" max="11786" width="12.7109375" style="6" hidden="1"/>
    <col min="11787" max="11787" width="10" style="6" hidden="1"/>
    <col min="11788" max="11788" width="14" style="6" hidden="1"/>
    <col min="11789" max="11789" width="11.5703125" style="6" hidden="1"/>
    <col min="11790" max="11790" width="8.140625" style="6" hidden="1"/>
    <col min="11791" max="11791" width="7.7109375" style="6" hidden="1"/>
    <col min="11792" max="12032" width="11.42578125" style="6" hidden="1"/>
    <col min="12033" max="12033" width="0.7109375" style="6" hidden="1"/>
    <col min="12034" max="12034" width="10.7109375" style="6" hidden="1"/>
    <col min="12035" max="12035" width="5.140625" style="6" hidden="1"/>
    <col min="12036" max="12036" width="10.140625" style="6" hidden="1"/>
    <col min="12037" max="12037" width="7.7109375" style="6" hidden="1"/>
    <col min="12038" max="12038" width="8" style="6" hidden="1"/>
    <col min="12039" max="12039" width="9.85546875" style="6" hidden="1"/>
    <col min="12040" max="12040" width="8.42578125" style="6" hidden="1"/>
    <col min="12041" max="12041" width="10.5703125" style="6" hidden="1"/>
    <col min="12042" max="12042" width="12.7109375" style="6" hidden="1"/>
    <col min="12043" max="12043" width="10" style="6" hidden="1"/>
    <col min="12044" max="12044" width="14" style="6" hidden="1"/>
    <col min="12045" max="12045" width="11.5703125" style="6" hidden="1"/>
    <col min="12046" max="12046" width="8.140625" style="6" hidden="1"/>
    <col min="12047" max="12047" width="7.7109375" style="6" hidden="1"/>
    <col min="12048" max="12288" width="11.42578125" style="6" hidden="1"/>
    <col min="12289" max="12289" width="0.7109375" style="6" hidden="1"/>
    <col min="12290" max="12290" width="10.7109375" style="6" hidden="1"/>
    <col min="12291" max="12291" width="5.140625" style="6" hidden="1"/>
    <col min="12292" max="12292" width="10.140625" style="6" hidden="1"/>
    <col min="12293" max="12293" width="7.7109375" style="6" hidden="1"/>
    <col min="12294" max="12294" width="8" style="6" hidden="1"/>
    <col min="12295" max="12295" width="9.85546875" style="6" hidden="1"/>
    <col min="12296" max="12296" width="8.42578125" style="6" hidden="1"/>
    <col min="12297" max="12297" width="10.5703125" style="6" hidden="1"/>
    <col min="12298" max="12298" width="12.7109375" style="6" hidden="1"/>
    <col min="12299" max="12299" width="10" style="6" hidden="1"/>
    <col min="12300" max="12300" width="14" style="6" hidden="1"/>
    <col min="12301" max="12301" width="11.5703125" style="6" hidden="1"/>
    <col min="12302" max="12302" width="8.140625" style="6" hidden="1"/>
    <col min="12303" max="12303" width="7.7109375" style="6" hidden="1"/>
    <col min="12304" max="12544" width="11.42578125" style="6" hidden="1"/>
    <col min="12545" max="12545" width="0.7109375" style="6" hidden="1"/>
    <col min="12546" max="12546" width="10.7109375" style="6" hidden="1"/>
    <col min="12547" max="12547" width="5.140625" style="6" hidden="1"/>
    <col min="12548" max="12548" width="10.140625" style="6" hidden="1"/>
    <col min="12549" max="12549" width="7.7109375" style="6" hidden="1"/>
    <col min="12550" max="12550" width="8" style="6" hidden="1"/>
    <col min="12551" max="12551" width="9.85546875" style="6" hidden="1"/>
    <col min="12552" max="12552" width="8.42578125" style="6" hidden="1"/>
    <col min="12553" max="12553" width="10.5703125" style="6" hidden="1"/>
    <col min="12554" max="12554" width="12.7109375" style="6" hidden="1"/>
    <col min="12555" max="12555" width="10" style="6" hidden="1"/>
    <col min="12556" max="12556" width="14" style="6" hidden="1"/>
    <col min="12557" max="12557" width="11.5703125" style="6" hidden="1"/>
    <col min="12558" max="12558" width="8.140625" style="6" hidden="1"/>
    <col min="12559" max="12559" width="7.7109375" style="6" hidden="1"/>
    <col min="12560" max="12800" width="11.42578125" style="6" hidden="1"/>
    <col min="12801" max="12801" width="0.7109375" style="6" hidden="1"/>
    <col min="12802" max="12802" width="10.7109375" style="6" hidden="1"/>
    <col min="12803" max="12803" width="5.140625" style="6" hidden="1"/>
    <col min="12804" max="12804" width="10.140625" style="6" hidden="1"/>
    <col min="12805" max="12805" width="7.7109375" style="6" hidden="1"/>
    <col min="12806" max="12806" width="8" style="6" hidden="1"/>
    <col min="12807" max="12807" width="9.85546875" style="6" hidden="1"/>
    <col min="12808" max="12808" width="8.42578125" style="6" hidden="1"/>
    <col min="12809" max="12809" width="10.5703125" style="6" hidden="1"/>
    <col min="12810" max="12810" width="12.7109375" style="6" hidden="1"/>
    <col min="12811" max="12811" width="10" style="6" hidden="1"/>
    <col min="12812" max="12812" width="14" style="6" hidden="1"/>
    <col min="12813" max="12813" width="11.5703125" style="6" hidden="1"/>
    <col min="12814" max="12814" width="8.140625" style="6" hidden="1"/>
    <col min="12815" max="12815" width="7.7109375" style="6" hidden="1"/>
    <col min="12816" max="13056" width="11.42578125" style="6" hidden="1"/>
    <col min="13057" max="13057" width="0.7109375" style="6" hidden="1"/>
    <col min="13058" max="13058" width="10.7109375" style="6" hidden="1"/>
    <col min="13059" max="13059" width="5.140625" style="6" hidden="1"/>
    <col min="13060" max="13060" width="10.140625" style="6" hidden="1"/>
    <col min="13061" max="13061" width="7.7109375" style="6" hidden="1"/>
    <col min="13062" max="13062" width="8" style="6" hidden="1"/>
    <col min="13063" max="13063" width="9.85546875" style="6" hidden="1"/>
    <col min="13064" max="13064" width="8.42578125" style="6" hidden="1"/>
    <col min="13065" max="13065" width="10.5703125" style="6" hidden="1"/>
    <col min="13066" max="13066" width="12.7109375" style="6" hidden="1"/>
    <col min="13067" max="13067" width="10" style="6" hidden="1"/>
    <col min="13068" max="13068" width="14" style="6" hidden="1"/>
    <col min="13069" max="13069" width="11.5703125" style="6" hidden="1"/>
    <col min="13070" max="13070" width="8.140625" style="6" hidden="1"/>
    <col min="13071" max="13071" width="7.7109375" style="6" hidden="1"/>
    <col min="13072" max="13312" width="11.42578125" style="6" hidden="1"/>
    <col min="13313" max="13313" width="0.7109375" style="6" hidden="1"/>
    <col min="13314" max="13314" width="10.7109375" style="6" hidden="1"/>
    <col min="13315" max="13315" width="5.140625" style="6" hidden="1"/>
    <col min="13316" max="13316" width="10.140625" style="6" hidden="1"/>
    <col min="13317" max="13317" width="7.7109375" style="6" hidden="1"/>
    <col min="13318" max="13318" width="8" style="6" hidden="1"/>
    <col min="13319" max="13319" width="9.85546875" style="6" hidden="1"/>
    <col min="13320" max="13320" width="8.42578125" style="6" hidden="1"/>
    <col min="13321" max="13321" width="10.5703125" style="6" hidden="1"/>
    <col min="13322" max="13322" width="12.7109375" style="6" hidden="1"/>
    <col min="13323" max="13323" width="10" style="6" hidden="1"/>
    <col min="13324" max="13324" width="14" style="6" hidden="1"/>
    <col min="13325" max="13325" width="11.5703125" style="6" hidden="1"/>
    <col min="13326" max="13326" width="8.140625" style="6" hidden="1"/>
    <col min="13327" max="13327" width="7.7109375" style="6" hidden="1"/>
    <col min="13328" max="13568" width="11.42578125" style="6" hidden="1"/>
    <col min="13569" max="13569" width="0.7109375" style="6" hidden="1"/>
    <col min="13570" max="13570" width="10.7109375" style="6" hidden="1"/>
    <col min="13571" max="13571" width="5.140625" style="6" hidden="1"/>
    <col min="13572" max="13572" width="10.140625" style="6" hidden="1"/>
    <col min="13573" max="13573" width="7.7109375" style="6" hidden="1"/>
    <col min="13574" max="13574" width="8" style="6" hidden="1"/>
    <col min="13575" max="13575" width="9.85546875" style="6" hidden="1"/>
    <col min="13576" max="13576" width="8.42578125" style="6" hidden="1"/>
    <col min="13577" max="13577" width="10.5703125" style="6" hidden="1"/>
    <col min="13578" max="13578" width="12.7109375" style="6" hidden="1"/>
    <col min="13579" max="13579" width="10" style="6" hidden="1"/>
    <col min="13580" max="13580" width="14" style="6" hidden="1"/>
    <col min="13581" max="13581" width="11.5703125" style="6" hidden="1"/>
    <col min="13582" max="13582" width="8.140625" style="6" hidden="1"/>
    <col min="13583" max="13583" width="7.7109375" style="6" hidden="1"/>
    <col min="13584" max="13824" width="11.42578125" style="6" hidden="1"/>
    <col min="13825" max="13825" width="0.7109375" style="6" hidden="1"/>
    <col min="13826" max="13826" width="10.7109375" style="6" hidden="1"/>
    <col min="13827" max="13827" width="5.140625" style="6" hidden="1"/>
    <col min="13828" max="13828" width="10.140625" style="6" hidden="1"/>
    <col min="13829" max="13829" width="7.7109375" style="6" hidden="1"/>
    <col min="13830" max="13830" width="8" style="6" hidden="1"/>
    <col min="13831" max="13831" width="9.85546875" style="6" hidden="1"/>
    <col min="13832" max="13832" width="8.42578125" style="6" hidden="1"/>
    <col min="13833" max="13833" width="10.5703125" style="6" hidden="1"/>
    <col min="13834" max="13834" width="12.7109375" style="6" hidden="1"/>
    <col min="13835" max="13835" width="10" style="6" hidden="1"/>
    <col min="13836" max="13836" width="14" style="6" hidden="1"/>
    <col min="13837" max="13837" width="11.5703125" style="6" hidden="1"/>
    <col min="13838" max="13838" width="8.140625" style="6" hidden="1"/>
    <col min="13839" max="13839" width="7.7109375" style="6" hidden="1"/>
    <col min="13840" max="14080" width="11.42578125" style="6" hidden="1"/>
    <col min="14081" max="14081" width="0.7109375" style="6" hidden="1"/>
    <col min="14082" max="14082" width="10.7109375" style="6" hidden="1"/>
    <col min="14083" max="14083" width="5.140625" style="6" hidden="1"/>
    <col min="14084" max="14084" width="10.140625" style="6" hidden="1"/>
    <col min="14085" max="14085" width="7.7109375" style="6" hidden="1"/>
    <col min="14086" max="14086" width="8" style="6" hidden="1"/>
    <col min="14087" max="14087" width="9.85546875" style="6" hidden="1"/>
    <col min="14088" max="14088" width="8.42578125" style="6" hidden="1"/>
    <col min="14089" max="14089" width="10.5703125" style="6" hidden="1"/>
    <col min="14090" max="14090" width="12.7109375" style="6" hidden="1"/>
    <col min="14091" max="14091" width="10" style="6" hidden="1"/>
    <col min="14092" max="14092" width="14" style="6" hidden="1"/>
    <col min="14093" max="14093" width="11.5703125" style="6" hidden="1"/>
    <col min="14094" max="14094" width="8.140625" style="6" hidden="1"/>
    <col min="14095" max="14095" width="7.7109375" style="6" hidden="1"/>
    <col min="14096" max="14336" width="11.42578125" style="6" hidden="1"/>
    <col min="14337" max="14337" width="0.7109375" style="6" hidden="1"/>
    <col min="14338" max="14338" width="10.7109375" style="6" hidden="1"/>
    <col min="14339" max="14339" width="5.140625" style="6" hidden="1"/>
    <col min="14340" max="14340" width="10.140625" style="6" hidden="1"/>
    <col min="14341" max="14341" width="7.7109375" style="6" hidden="1"/>
    <col min="14342" max="14342" width="8" style="6" hidden="1"/>
    <col min="14343" max="14343" width="9.85546875" style="6" hidden="1"/>
    <col min="14344" max="14344" width="8.42578125" style="6" hidden="1"/>
    <col min="14345" max="14345" width="10.5703125" style="6" hidden="1"/>
    <col min="14346" max="14346" width="12.7109375" style="6" hidden="1"/>
    <col min="14347" max="14347" width="10" style="6" hidden="1"/>
    <col min="14348" max="14348" width="14" style="6" hidden="1"/>
    <col min="14349" max="14349" width="11.5703125" style="6" hidden="1"/>
    <col min="14350" max="14350" width="8.140625" style="6" hidden="1"/>
    <col min="14351" max="14351" width="7.7109375" style="6" hidden="1"/>
    <col min="14352" max="14592" width="11.42578125" style="6" hidden="1"/>
    <col min="14593" max="14593" width="0.7109375" style="6" hidden="1"/>
    <col min="14594" max="14594" width="10.7109375" style="6" hidden="1"/>
    <col min="14595" max="14595" width="5.140625" style="6" hidden="1"/>
    <col min="14596" max="14596" width="10.140625" style="6" hidden="1"/>
    <col min="14597" max="14597" width="7.7109375" style="6" hidden="1"/>
    <col min="14598" max="14598" width="8" style="6" hidden="1"/>
    <col min="14599" max="14599" width="9.85546875" style="6" hidden="1"/>
    <col min="14600" max="14600" width="8.42578125" style="6" hidden="1"/>
    <col min="14601" max="14601" width="10.5703125" style="6" hidden="1"/>
    <col min="14602" max="14602" width="12.7109375" style="6" hidden="1"/>
    <col min="14603" max="14603" width="10" style="6" hidden="1"/>
    <col min="14604" max="14604" width="14" style="6" hidden="1"/>
    <col min="14605" max="14605" width="11.5703125" style="6" hidden="1"/>
    <col min="14606" max="14606" width="8.140625" style="6" hidden="1"/>
    <col min="14607" max="14607" width="7.7109375" style="6" hidden="1"/>
    <col min="14608" max="14848" width="11.42578125" style="6" hidden="1"/>
    <col min="14849" max="14849" width="0.7109375" style="6" hidden="1"/>
    <col min="14850" max="14850" width="10.7109375" style="6" hidden="1"/>
    <col min="14851" max="14851" width="5.140625" style="6" hidden="1"/>
    <col min="14852" max="14852" width="10.140625" style="6" hidden="1"/>
    <col min="14853" max="14853" width="7.7109375" style="6" hidden="1"/>
    <col min="14854" max="14854" width="8" style="6" hidden="1"/>
    <col min="14855" max="14855" width="9.85546875" style="6" hidden="1"/>
    <col min="14856" max="14856" width="8.42578125" style="6" hidden="1"/>
    <col min="14857" max="14857" width="10.5703125" style="6" hidden="1"/>
    <col min="14858" max="14858" width="12.7109375" style="6" hidden="1"/>
    <col min="14859" max="14859" width="10" style="6" hidden="1"/>
    <col min="14860" max="14860" width="14" style="6" hidden="1"/>
    <col min="14861" max="14861" width="11.5703125" style="6" hidden="1"/>
    <col min="14862" max="14862" width="8.140625" style="6" hidden="1"/>
    <col min="14863" max="14863" width="7.7109375" style="6" hidden="1"/>
    <col min="14864" max="15104" width="11.42578125" style="6" hidden="1"/>
    <col min="15105" max="15105" width="0.7109375" style="6" hidden="1"/>
    <col min="15106" max="15106" width="10.7109375" style="6" hidden="1"/>
    <col min="15107" max="15107" width="5.140625" style="6" hidden="1"/>
    <col min="15108" max="15108" width="10.140625" style="6" hidden="1"/>
    <col min="15109" max="15109" width="7.7109375" style="6" hidden="1"/>
    <col min="15110" max="15110" width="8" style="6" hidden="1"/>
    <col min="15111" max="15111" width="9.85546875" style="6" hidden="1"/>
    <col min="15112" max="15112" width="8.42578125" style="6" hidden="1"/>
    <col min="15113" max="15113" width="10.5703125" style="6" hidden="1"/>
    <col min="15114" max="15114" width="12.7109375" style="6" hidden="1"/>
    <col min="15115" max="15115" width="10" style="6" hidden="1"/>
    <col min="15116" max="15116" width="14" style="6" hidden="1"/>
    <col min="15117" max="15117" width="11.5703125" style="6" hidden="1"/>
    <col min="15118" max="15118" width="8.140625" style="6" hidden="1"/>
    <col min="15119" max="15119" width="7.7109375" style="6" hidden="1"/>
    <col min="15120" max="15360" width="11.42578125" style="6" hidden="1"/>
    <col min="15361" max="15361" width="0.7109375" style="6" hidden="1"/>
    <col min="15362" max="15362" width="10.7109375" style="6" hidden="1"/>
    <col min="15363" max="15363" width="5.140625" style="6" hidden="1"/>
    <col min="15364" max="15364" width="10.140625" style="6" hidden="1"/>
    <col min="15365" max="15365" width="7.7109375" style="6" hidden="1"/>
    <col min="15366" max="15366" width="8" style="6" hidden="1"/>
    <col min="15367" max="15367" width="9.85546875" style="6" hidden="1"/>
    <col min="15368" max="15368" width="8.42578125" style="6" hidden="1"/>
    <col min="15369" max="15369" width="10.5703125" style="6" hidden="1"/>
    <col min="15370" max="15370" width="12.7109375" style="6" hidden="1"/>
    <col min="15371" max="15371" width="10" style="6" hidden="1"/>
    <col min="15372" max="15372" width="14" style="6" hidden="1"/>
    <col min="15373" max="15373" width="11.5703125" style="6" hidden="1"/>
    <col min="15374" max="15374" width="8.140625" style="6" hidden="1"/>
    <col min="15375" max="15375" width="7.7109375" style="6" hidden="1"/>
    <col min="15376" max="15616" width="11.42578125" style="6" hidden="1"/>
    <col min="15617" max="15617" width="0.7109375" style="6" hidden="1"/>
    <col min="15618" max="15618" width="10.7109375" style="6" hidden="1"/>
    <col min="15619" max="15619" width="5.140625" style="6" hidden="1"/>
    <col min="15620" max="15620" width="10.140625" style="6" hidden="1"/>
    <col min="15621" max="15621" width="7.7109375" style="6" hidden="1"/>
    <col min="15622" max="15622" width="8" style="6" hidden="1"/>
    <col min="15623" max="15623" width="9.85546875" style="6" hidden="1"/>
    <col min="15624" max="15624" width="8.42578125" style="6" hidden="1"/>
    <col min="15625" max="15625" width="10.5703125" style="6" hidden="1"/>
    <col min="15626" max="15626" width="12.7109375" style="6" hidden="1"/>
    <col min="15627" max="15627" width="10" style="6" hidden="1"/>
    <col min="15628" max="15628" width="14" style="6" hidden="1"/>
    <col min="15629" max="15629" width="11.5703125" style="6" hidden="1"/>
    <col min="15630" max="15630" width="8.140625" style="6" hidden="1"/>
    <col min="15631" max="15631" width="7.7109375" style="6" hidden="1"/>
    <col min="15632" max="15872" width="11.42578125" style="6" hidden="1"/>
    <col min="15873" max="15873" width="0.7109375" style="6" hidden="1"/>
    <col min="15874" max="15874" width="10.7109375" style="6" hidden="1"/>
    <col min="15875" max="15875" width="5.140625" style="6" hidden="1"/>
    <col min="15876" max="15876" width="10.140625" style="6" hidden="1"/>
    <col min="15877" max="15877" width="7.7109375" style="6" hidden="1"/>
    <col min="15878" max="15878" width="8" style="6" hidden="1"/>
    <col min="15879" max="15879" width="9.85546875" style="6" hidden="1"/>
    <col min="15880" max="15880" width="8.42578125" style="6" hidden="1"/>
    <col min="15881" max="15881" width="10.5703125" style="6" hidden="1"/>
    <col min="15882" max="15882" width="12.7109375" style="6" hidden="1"/>
    <col min="15883" max="15883" width="10" style="6" hidden="1"/>
    <col min="15884" max="15884" width="14" style="6" hidden="1"/>
    <col min="15885" max="15885" width="11.5703125" style="6" hidden="1"/>
    <col min="15886" max="15886" width="8.140625" style="6" hidden="1"/>
    <col min="15887" max="15887" width="7.7109375" style="6" hidden="1"/>
    <col min="15888" max="16128" width="11.42578125" style="6" hidden="1"/>
    <col min="16129" max="16129" width="0.7109375" style="6" hidden="1"/>
    <col min="16130" max="16130" width="10.7109375" style="6" hidden="1"/>
    <col min="16131" max="16131" width="5.140625" style="6" hidden="1"/>
    <col min="16132" max="16132" width="10.140625" style="6" hidden="1"/>
    <col min="16133" max="16133" width="7.7109375" style="6" hidden="1"/>
    <col min="16134" max="16134" width="8" style="6" hidden="1"/>
    <col min="16135" max="16135" width="9.85546875" style="6" hidden="1"/>
    <col min="16136" max="16136" width="8.42578125" style="6" hidden="1"/>
    <col min="16137" max="16137" width="10.5703125" style="6" hidden="1"/>
    <col min="16138" max="16138" width="12.7109375" style="6" hidden="1"/>
    <col min="16139" max="16139" width="10" style="6" hidden="1"/>
    <col min="16140" max="16140" width="14" style="6" hidden="1"/>
    <col min="16141" max="16141" width="11.5703125" style="6" hidden="1"/>
    <col min="16142" max="16142" width="8.140625" style="6" hidden="1"/>
    <col min="16143" max="16143" width="7.7109375" style="6" hidden="1"/>
    <col min="16144" max="16384" width="11.42578125" style="6" hidden="1"/>
  </cols>
  <sheetData>
    <row r="1" spans="1:19" ht="13.5" customHeight="1" thickTop="1">
      <c r="A1" s="44"/>
      <c r="B1" s="45" t="s">
        <v>30</v>
      </c>
      <c r="C1" s="46" t="s">
        <v>27</v>
      </c>
      <c r="D1" s="36" t="s">
        <v>28</v>
      </c>
      <c r="E1" s="36" t="s">
        <v>0</v>
      </c>
      <c r="F1" s="36" t="s">
        <v>29</v>
      </c>
      <c r="G1" s="36" t="s">
        <v>25</v>
      </c>
      <c r="H1" s="47" t="s">
        <v>26</v>
      </c>
      <c r="I1" s="94" t="s">
        <v>31</v>
      </c>
      <c r="J1" s="95"/>
    </row>
    <row r="2" spans="1:19" s="1" customFormat="1" ht="12.6" customHeight="1">
      <c r="A2" s="24">
        <v>1</v>
      </c>
      <c r="B2" s="8" t="s">
        <v>2</v>
      </c>
      <c r="C2" s="9">
        <v>2</v>
      </c>
      <c r="D2" s="25">
        <v>33.364500000000007</v>
      </c>
      <c r="E2" s="10">
        <v>164.59949999999998</v>
      </c>
      <c r="F2" s="10">
        <v>21830.4005</v>
      </c>
      <c r="G2" s="9"/>
      <c r="H2" s="29"/>
      <c r="I2" s="90"/>
      <c r="J2" s="91"/>
      <c r="K2" s="4"/>
      <c r="L2" s="4"/>
      <c r="M2" s="4"/>
      <c r="N2" s="4"/>
      <c r="O2" s="4"/>
      <c r="P2" s="4"/>
      <c r="Q2" s="4"/>
      <c r="R2" s="6"/>
      <c r="S2" s="4"/>
    </row>
    <row r="3" spans="1:19" s="1" customFormat="1" ht="12.6" customHeight="1">
      <c r="A3" s="24">
        <v>2</v>
      </c>
      <c r="B3" s="8" t="s">
        <v>2</v>
      </c>
      <c r="C3" s="9">
        <v>2</v>
      </c>
      <c r="D3" s="10">
        <v>33.044499999999999</v>
      </c>
      <c r="E3" s="10">
        <v>197.64399999999998</v>
      </c>
      <c r="F3" s="10">
        <v>21797.356</v>
      </c>
      <c r="G3" s="9"/>
      <c r="H3" s="29"/>
      <c r="I3" s="82"/>
      <c r="J3" s="83"/>
      <c r="K3" s="4"/>
      <c r="L3" s="4"/>
      <c r="M3" s="4"/>
      <c r="N3" s="4"/>
      <c r="O3" s="4"/>
      <c r="P3" s="4"/>
      <c r="Q3" s="4"/>
      <c r="R3" s="6"/>
      <c r="S3" s="4"/>
    </row>
    <row r="4" spans="1:19" s="1" customFormat="1" ht="14.45" customHeight="1">
      <c r="A4" s="70" t="s">
        <v>32</v>
      </c>
      <c r="B4" s="71"/>
      <c r="C4" s="42">
        <v>1</v>
      </c>
      <c r="D4" s="48">
        <v>19.8245</v>
      </c>
      <c r="E4" s="48">
        <v>217.46849999999998</v>
      </c>
      <c r="F4" s="48">
        <v>21777.531500000001</v>
      </c>
      <c r="G4" s="37"/>
      <c r="H4" s="49"/>
      <c r="I4" s="74" t="s">
        <v>12</v>
      </c>
      <c r="J4" s="75"/>
      <c r="K4" s="4"/>
      <c r="L4" s="4"/>
      <c r="M4" s="4"/>
      <c r="N4" s="4"/>
      <c r="O4" s="4"/>
      <c r="P4" s="4"/>
      <c r="Q4" s="4"/>
      <c r="R4" s="6"/>
      <c r="S4" s="4"/>
    </row>
    <row r="5" spans="1:19" s="1" customFormat="1" ht="14.45" customHeight="1">
      <c r="A5" s="24">
        <v>3</v>
      </c>
      <c r="B5" s="8" t="s">
        <v>2</v>
      </c>
      <c r="C5" s="9">
        <v>2</v>
      </c>
      <c r="D5" s="10">
        <v>33.504499999999993</v>
      </c>
      <c r="E5" s="10">
        <v>250.97299999999996</v>
      </c>
      <c r="F5" s="10">
        <v>21744.027000000002</v>
      </c>
      <c r="G5" s="9"/>
      <c r="H5" s="29"/>
      <c r="I5" s="72" t="s">
        <v>33</v>
      </c>
      <c r="J5" s="73"/>
      <c r="K5" s="4"/>
      <c r="L5" s="4"/>
      <c r="M5" s="4"/>
      <c r="N5" s="4"/>
      <c r="O5" s="4"/>
      <c r="P5" s="4"/>
      <c r="Q5" s="4"/>
      <c r="R5" s="6"/>
      <c r="S5" s="4"/>
    </row>
    <row r="6" spans="1:19" s="1" customFormat="1" ht="14.45" customHeight="1">
      <c r="A6" s="50">
        <v>4</v>
      </c>
      <c r="B6" s="51" t="s">
        <v>2</v>
      </c>
      <c r="C6" s="41">
        <v>1</v>
      </c>
      <c r="D6" s="52">
        <v>33.524500000000003</v>
      </c>
      <c r="E6" s="52">
        <v>284.49749999999995</v>
      </c>
      <c r="F6" s="52">
        <v>21710.502499999999</v>
      </c>
      <c r="G6" s="38"/>
      <c r="H6" s="53"/>
      <c r="I6" s="72"/>
      <c r="J6" s="73"/>
      <c r="K6" s="4"/>
      <c r="L6" s="4"/>
      <c r="M6" s="4"/>
      <c r="N6" s="4"/>
      <c r="O6" s="4"/>
      <c r="P6" s="4"/>
      <c r="Q6" s="4"/>
      <c r="R6" s="4"/>
      <c r="S6" s="4"/>
    </row>
    <row r="7" spans="1:19" s="1" customFormat="1" ht="14.45" customHeight="1">
      <c r="A7" s="24">
        <v>5</v>
      </c>
      <c r="B7" s="8" t="s">
        <v>2</v>
      </c>
      <c r="C7" s="9">
        <v>2</v>
      </c>
      <c r="D7" s="10">
        <v>33.294499999999999</v>
      </c>
      <c r="E7" s="10">
        <v>317.79199999999992</v>
      </c>
      <c r="F7" s="10">
        <v>21677.207999999999</v>
      </c>
      <c r="G7" s="9"/>
      <c r="H7" s="29"/>
      <c r="I7" s="72"/>
      <c r="J7" s="73"/>
      <c r="K7" s="4"/>
      <c r="L7" s="4"/>
      <c r="M7" s="4"/>
      <c r="N7" s="4"/>
      <c r="O7" s="4"/>
      <c r="P7" s="4"/>
      <c r="Q7" s="4"/>
      <c r="R7" s="4"/>
      <c r="S7" s="4"/>
    </row>
    <row r="8" spans="1:19" s="1" customFormat="1" ht="13.5" customHeight="1">
      <c r="A8" s="24">
        <v>6</v>
      </c>
      <c r="B8" s="8" t="s">
        <v>2</v>
      </c>
      <c r="C8" s="9">
        <v>2</v>
      </c>
      <c r="D8" s="10">
        <v>33.554500000000004</v>
      </c>
      <c r="E8" s="10">
        <v>351.34649999999993</v>
      </c>
      <c r="F8" s="10">
        <v>21643.6535</v>
      </c>
      <c r="G8" s="9"/>
      <c r="H8" s="29"/>
      <c r="I8" s="80"/>
      <c r="J8" s="81"/>
      <c r="K8" s="4"/>
      <c r="L8" s="4"/>
      <c r="M8" s="4"/>
      <c r="N8" s="4"/>
      <c r="O8" s="4"/>
      <c r="P8" s="4"/>
      <c r="Q8" s="4"/>
      <c r="R8" s="4"/>
      <c r="S8" s="4"/>
    </row>
    <row r="9" spans="1:19" s="1" customFormat="1" ht="12.6" customHeight="1">
      <c r="A9" s="24">
        <v>7</v>
      </c>
      <c r="B9" s="8" t="s">
        <v>2</v>
      </c>
      <c r="C9" s="9">
        <v>2</v>
      </c>
      <c r="D9" s="10">
        <v>33.294499999999999</v>
      </c>
      <c r="E9" s="10">
        <v>384.64099999999996</v>
      </c>
      <c r="F9" s="10">
        <v>21610.359</v>
      </c>
      <c r="G9" s="9"/>
      <c r="H9" s="29"/>
      <c r="I9" s="78"/>
      <c r="J9" s="79"/>
      <c r="K9" s="4"/>
      <c r="L9" s="4"/>
      <c r="M9" s="4"/>
      <c r="N9" s="4"/>
      <c r="O9" s="4"/>
      <c r="P9" s="4"/>
      <c r="Q9" s="4"/>
      <c r="R9" s="4"/>
      <c r="S9" s="4"/>
    </row>
    <row r="10" spans="1:19" s="1" customFormat="1" ht="12.6" customHeight="1">
      <c r="A10" s="24">
        <v>8</v>
      </c>
      <c r="B10" s="8" t="s">
        <v>2</v>
      </c>
      <c r="C10" s="9">
        <v>2</v>
      </c>
      <c r="D10" s="10">
        <v>31.794500000000003</v>
      </c>
      <c r="E10" s="10">
        <v>416.43549999999999</v>
      </c>
      <c r="F10" s="10">
        <v>21578.5645</v>
      </c>
      <c r="G10" s="9"/>
      <c r="H10" s="29"/>
      <c r="I10" s="78"/>
      <c r="J10" s="79"/>
      <c r="K10" s="4"/>
      <c r="L10" s="4"/>
      <c r="M10" s="4"/>
      <c r="N10" s="4"/>
      <c r="O10" s="4"/>
      <c r="P10" s="4"/>
      <c r="Q10" s="4"/>
      <c r="R10" s="4"/>
      <c r="S10" s="4"/>
    </row>
    <row r="11" spans="1:19" s="1" customFormat="1" ht="12.6" customHeight="1">
      <c r="A11" s="24">
        <v>9</v>
      </c>
      <c r="B11" s="8" t="s">
        <v>2</v>
      </c>
      <c r="C11" s="9">
        <v>2</v>
      </c>
      <c r="D11" s="10">
        <v>33.544499999999999</v>
      </c>
      <c r="E11" s="10">
        <v>449.98</v>
      </c>
      <c r="F11" s="10">
        <v>21545.02</v>
      </c>
      <c r="G11" s="9"/>
      <c r="H11" s="29"/>
      <c r="I11" s="92" t="s">
        <v>8</v>
      </c>
      <c r="J11" s="93"/>
      <c r="K11" s="4"/>
      <c r="L11" s="4"/>
      <c r="M11" s="4"/>
      <c r="N11" s="4"/>
      <c r="O11" s="4"/>
      <c r="P11" s="4"/>
      <c r="Q11" s="4"/>
      <c r="R11" s="4"/>
      <c r="S11" s="4"/>
    </row>
    <row r="12" spans="1:19" s="1" customFormat="1" ht="12.6" customHeight="1">
      <c r="A12" s="24">
        <v>10</v>
      </c>
      <c r="B12" s="8" t="s">
        <v>2</v>
      </c>
      <c r="C12" s="9">
        <v>2</v>
      </c>
      <c r="D12" s="10">
        <v>33.374499999999998</v>
      </c>
      <c r="E12" s="10">
        <v>483.35450000000003</v>
      </c>
      <c r="F12" s="10">
        <v>21511.645499999999</v>
      </c>
      <c r="G12" s="9"/>
      <c r="H12" s="29"/>
      <c r="I12" s="86" t="s">
        <v>7</v>
      </c>
      <c r="J12" s="87"/>
      <c r="K12" s="4"/>
      <c r="L12" s="4"/>
      <c r="M12" s="4"/>
      <c r="N12" s="4"/>
      <c r="O12" s="4"/>
      <c r="P12" s="4"/>
      <c r="Q12" s="4"/>
      <c r="R12" s="4"/>
      <c r="S12" s="4"/>
    </row>
    <row r="13" spans="1:19" s="1" customFormat="1" ht="12.6" customHeight="1">
      <c r="A13" s="24">
        <v>11</v>
      </c>
      <c r="B13" s="8" t="s">
        <v>2</v>
      </c>
      <c r="C13" s="9">
        <v>2</v>
      </c>
      <c r="D13" s="10">
        <v>33.164500000000004</v>
      </c>
      <c r="E13" s="10">
        <v>516.51900000000001</v>
      </c>
      <c r="F13" s="10">
        <v>21478.481</v>
      </c>
      <c r="G13" s="9"/>
      <c r="H13" s="29"/>
      <c r="I13" s="86" t="s">
        <v>20</v>
      </c>
      <c r="J13" s="87"/>
      <c r="K13" s="4"/>
      <c r="L13" s="4"/>
      <c r="M13" s="4"/>
      <c r="N13" s="4"/>
      <c r="O13" s="4"/>
      <c r="P13" s="4"/>
      <c r="Q13" s="4"/>
      <c r="R13" s="4"/>
      <c r="S13" s="4"/>
    </row>
    <row r="14" spans="1:19" s="1" customFormat="1" ht="12.6" customHeight="1">
      <c r="A14" s="24">
        <v>12</v>
      </c>
      <c r="B14" s="8" t="s">
        <v>2</v>
      </c>
      <c r="C14" s="9">
        <v>2</v>
      </c>
      <c r="D14" s="10">
        <v>33.524500000000003</v>
      </c>
      <c r="E14" s="10">
        <v>550.04349999999999</v>
      </c>
      <c r="F14" s="10">
        <v>21444.9565</v>
      </c>
      <c r="G14" s="9"/>
      <c r="H14" s="29"/>
      <c r="I14" s="78"/>
      <c r="J14" s="79"/>
      <c r="K14" s="4"/>
      <c r="L14" s="4"/>
      <c r="M14" s="4"/>
      <c r="N14" s="4"/>
      <c r="O14" s="4"/>
      <c r="P14" s="4"/>
      <c r="Q14" s="4"/>
      <c r="R14" s="4"/>
      <c r="S14" s="4"/>
    </row>
    <row r="15" spans="1:19" s="1" customFormat="1" ht="12.6" customHeight="1">
      <c r="A15" s="24">
        <v>13</v>
      </c>
      <c r="B15" s="8" t="s">
        <v>2</v>
      </c>
      <c r="C15" s="9">
        <v>2</v>
      </c>
      <c r="D15" s="10">
        <v>33.524500000000003</v>
      </c>
      <c r="E15" s="10">
        <v>583.56799999999998</v>
      </c>
      <c r="F15" s="10">
        <v>21411.432000000001</v>
      </c>
      <c r="G15" s="9"/>
      <c r="H15" s="29"/>
      <c r="I15" s="96" t="s">
        <v>11</v>
      </c>
      <c r="J15" s="97"/>
      <c r="K15" s="4"/>
      <c r="L15" s="4"/>
      <c r="M15" s="4"/>
      <c r="N15" s="4"/>
      <c r="O15" s="4"/>
      <c r="P15" s="4"/>
      <c r="Q15" s="4"/>
      <c r="R15" s="4"/>
      <c r="S15" s="4"/>
    </row>
    <row r="16" spans="1:19" s="1" customFormat="1" ht="12.6" customHeight="1">
      <c r="A16" s="24">
        <v>14</v>
      </c>
      <c r="B16" s="8" t="s">
        <v>2</v>
      </c>
      <c r="C16" s="9">
        <v>2</v>
      </c>
      <c r="D16" s="10">
        <v>33.384500000000003</v>
      </c>
      <c r="E16" s="10">
        <v>616.95249999999999</v>
      </c>
      <c r="F16" s="10">
        <v>21378.047500000001</v>
      </c>
      <c r="G16" s="9"/>
      <c r="H16" s="29"/>
      <c r="I16" s="88" t="s">
        <v>7</v>
      </c>
      <c r="J16" s="89"/>
      <c r="K16" s="4"/>
      <c r="L16" s="4"/>
      <c r="M16" s="4"/>
      <c r="N16" s="4"/>
      <c r="O16" s="4"/>
      <c r="P16" s="4"/>
      <c r="Q16" s="4"/>
      <c r="R16" s="4"/>
      <c r="S16" s="4"/>
    </row>
    <row r="17" spans="1:32" s="1" customFormat="1" ht="12.6" customHeight="1">
      <c r="A17" s="24">
        <v>15</v>
      </c>
      <c r="B17" s="8" t="s">
        <v>2</v>
      </c>
      <c r="C17" s="9">
        <v>2</v>
      </c>
      <c r="D17" s="10">
        <v>33.314499999999995</v>
      </c>
      <c r="E17" s="10">
        <v>650.26699999999994</v>
      </c>
      <c r="F17" s="10">
        <v>21344.733</v>
      </c>
      <c r="G17" s="9"/>
      <c r="H17" s="29"/>
      <c r="I17" s="88" t="s">
        <v>21</v>
      </c>
      <c r="J17" s="89"/>
      <c r="K17" s="4"/>
      <c r="L17" s="4"/>
      <c r="M17" s="4"/>
      <c r="N17" s="4"/>
      <c r="O17" s="4"/>
      <c r="P17" s="4"/>
      <c r="Q17" s="4"/>
      <c r="R17" s="4"/>
      <c r="S17" s="4"/>
    </row>
    <row r="18" spans="1:32" s="1" customFormat="1" ht="12.6" customHeight="1">
      <c r="A18" s="24">
        <v>16</v>
      </c>
      <c r="B18" s="8" t="s">
        <v>2</v>
      </c>
      <c r="C18" s="9">
        <v>2</v>
      </c>
      <c r="D18" s="10">
        <v>33.314499999999995</v>
      </c>
      <c r="E18" s="10">
        <v>683.58149999999989</v>
      </c>
      <c r="F18" s="10">
        <v>21311.4185</v>
      </c>
      <c r="G18" s="9"/>
      <c r="H18" s="29"/>
      <c r="I18" s="78"/>
      <c r="J18" s="79"/>
      <c r="K18" s="4"/>
      <c r="L18" s="4"/>
      <c r="M18" s="4"/>
      <c r="N18" s="4"/>
      <c r="O18" s="4"/>
      <c r="P18" s="4"/>
      <c r="Q18" s="4"/>
      <c r="R18" s="4"/>
      <c r="S18" s="4"/>
    </row>
    <row r="19" spans="1:32" s="1" customFormat="1" ht="12.6" customHeight="1">
      <c r="A19" s="24">
        <v>17</v>
      </c>
      <c r="B19" s="8" t="s">
        <v>2</v>
      </c>
      <c r="C19" s="9">
        <v>2</v>
      </c>
      <c r="D19" s="10">
        <v>32.964500000000001</v>
      </c>
      <c r="E19" s="10">
        <v>716.54599999999994</v>
      </c>
      <c r="F19" s="10">
        <v>21278.454000000002</v>
      </c>
      <c r="G19" s="9"/>
      <c r="H19" s="29"/>
      <c r="I19" s="78"/>
      <c r="J19" s="79"/>
      <c r="K19" s="4"/>
      <c r="L19" s="4"/>
      <c r="M19" s="4"/>
      <c r="N19" s="4"/>
      <c r="O19" s="4"/>
      <c r="P19" s="4"/>
      <c r="Q19" s="4"/>
      <c r="R19" s="4"/>
      <c r="S19" s="4"/>
    </row>
    <row r="20" spans="1:32" s="1" customFormat="1" ht="12.6" customHeight="1">
      <c r="A20" s="24">
        <v>18</v>
      </c>
      <c r="B20" s="8" t="s">
        <v>2</v>
      </c>
      <c r="C20" s="9">
        <v>2</v>
      </c>
      <c r="D20" s="10">
        <v>33.404499999999999</v>
      </c>
      <c r="E20" s="10">
        <v>749.95049999999992</v>
      </c>
      <c r="F20" s="10">
        <v>21245.049500000001</v>
      </c>
      <c r="G20" s="9"/>
      <c r="H20" s="29"/>
      <c r="I20" s="78"/>
      <c r="J20" s="79"/>
      <c r="K20" s="4"/>
      <c r="L20" s="4"/>
      <c r="M20" s="4"/>
      <c r="N20" s="4"/>
      <c r="O20" s="4"/>
      <c r="P20" s="4"/>
      <c r="Q20" s="4"/>
      <c r="R20" s="4"/>
      <c r="S20" s="4"/>
    </row>
    <row r="21" spans="1:32" s="1" customFormat="1" ht="12.6" customHeight="1">
      <c r="A21" s="24">
        <v>19</v>
      </c>
      <c r="B21" s="8" t="s">
        <v>2</v>
      </c>
      <c r="C21" s="9">
        <v>2</v>
      </c>
      <c r="D21" s="10">
        <v>33.484499999999997</v>
      </c>
      <c r="E21" s="10">
        <v>783.43499999999995</v>
      </c>
      <c r="F21" s="10">
        <v>21211.564999999999</v>
      </c>
      <c r="G21" s="9"/>
      <c r="H21" s="29"/>
      <c r="I21" s="78"/>
      <c r="J21" s="79"/>
      <c r="K21" s="4"/>
      <c r="L21" s="4"/>
      <c r="M21" s="4"/>
      <c r="N21" s="4"/>
      <c r="O21" s="4"/>
      <c r="P21" s="4"/>
      <c r="Q21" s="4"/>
      <c r="R21" s="4"/>
      <c r="S21" s="4"/>
    </row>
    <row r="22" spans="1:32" s="1" customFormat="1" ht="12.6" customHeight="1">
      <c r="A22" s="24">
        <v>20</v>
      </c>
      <c r="B22" s="8" t="s">
        <v>2</v>
      </c>
      <c r="C22" s="9">
        <v>2</v>
      </c>
      <c r="D22" s="10">
        <v>33.214500000000001</v>
      </c>
      <c r="E22" s="10">
        <v>816.64949999999999</v>
      </c>
      <c r="F22" s="10">
        <v>21178.3505</v>
      </c>
      <c r="G22" s="9"/>
      <c r="H22" s="29"/>
      <c r="I22" s="78"/>
      <c r="J22" s="79"/>
      <c r="K22" s="4"/>
      <c r="L22" s="4"/>
      <c r="M22" s="4"/>
      <c r="N22" s="4"/>
      <c r="O22" s="4"/>
      <c r="P22" s="4"/>
      <c r="Q22" s="4"/>
      <c r="R22" s="4"/>
      <c r="S22" s="4"/>
    </row>
    <row r="23" spans="1:32" s="1" customFormat="1" ht="12.6" customHeight="1">
      <c r="A23" s="24">
        <v>21</v>
      </c>
      <c r="B23" s="8" t="s">
        <v>2</v>
      </c>
      <c r="C23" s="9">
        <v>2</v>
      </c>
      <c r="D23" s="10">
        <v>33.564499999999995</v>
      </c>
      <c r="E23" s="10">
        <v>850.21399999999994</v>
      </c>
      <c r="F23" s="10">
        <v>21144.786</v>
      </c>
      <c r="G23" s="9"/>
      <c r="H23" s="29"/>
      <c r="I23" s="78"/>
      <c r="J23" s="79"/>
      <c r="K23" s="4"/>
      <c r="L23" s="4"/>
      <c r="M23" s="4"/>
      <c r="N23" s="4"/>
      <c r="O23" s="4"/>
      <c r="P23" s="4"/>
      <c r="Q23" s="4"/>
      <c r="R23" s="4"/>
      <c r="S23" s="4"/>
    </row>
    <row r="24" spans="1:32" s="1" customFormat="1" ht="12.6" customHeight="1">
      <c r="A24" s="24">
        <v>22</v>
      </c>
      <c r="B24" s="8" t="s">
        <v>2</v>
      </c>
      <c r="C24" s="9">
        <v>2</v>
      </c>
      <c r="D24" s="10">
        <v>33.254499999999993</v>
      </c>
      <c r="E24" s="10">
        <v>883.46849999999995</v>
      </c>
      <c r="F24" s="10">
        <v>21111.531500000001</v>
      </c>
      <c r="G24" s="9"/>
      <c r="H24" s="29"/>
      <c r="I24" s="78"/>
      <c r="J24" s="79"/>
      <c r="K24" s="4"/>
      <c r="L24" s="4"/>
      <c r="M24" s="4"/>
      <c r="N24" s="4"/>
      <c r="O24" s="4"/>
      <c r="P24" s="4"/>
      <c r="Q24" s="4"/>
      <c r="R24" s="4"/>
      <c r="S24" s="4"/>
    </row>
    <row r="25" spans="1:32" s="1" customFormat="1" ht="12.6" customHeight="1">
      <c r="A25" s="24">
        <v>23</v>
      </c>
      <c r="B25" s="8" t="s">
        <v>2</v>
      </c>
      <c r="C25" s="9">
        <v>2</v>
      </c>
      <c r="D25" s="10">
        <v>33.554500000000004</v>
      </c>
      <c r="E25" s="10">
        <v>917.02299999999991</v>
      </c>
      <c r="F25" s="10">
        <v>21077.976999999999</v>
      </c>
      <c r="G25" s="9"/>
      <c r="H25" s="29"/>
      <c r="I25" s="78"/>
      <c r="J25" s="79"/>
      <c r="K25" s="4"/>
      <c r="L25" s="4"/>
      <c r="M25" s="4"/>
      <c r="N25" s="4"/>
      <c r="O25" s="4"/>
      <c r="P25" s="4"/>
      <c r="Q25" s="4"/>
      <c r="R25" s="4"/>
      <c r="S25" s="4"/>
    </row>
    <row r="26" spans="1:32" s="1" customFormat="1" ht="12.6" customHeight="1">
      <c r="A26" s="24">
        <v>24</v>
      </c>
      <c r="B26" s="8" t="s">
        <v>2</v>
      </c>
      <c r="C26" s="9">
        <v>2</v>
      </c>
      <c r="D26" s="10">
        <v>33.404499999999999</v>
      </c>
      <c r="E26" s="10">
        <v>950.4274999999999</v>
      </c>
      <c r="F26" s="10">
        <v>21044.572499999998</v>
      </c>
      <c r="G26" s="9"/>
      <c r="H26" s="29"/>
      <c r="I26" s="78"/>
      <c r="J26" s="79"/>
      <c r="K26" s="4"/>
      <c r="L26" s="4"/>
      <c r="M26" s="4"/>
      <c r="N26" s="4"/>
      <c r="O26" s="4"/>
      <c r="P26" s="4"/>
      <c r="Q26" s="4"/>
      <c r="R26" s="4"/>
      <c r="S26" s="4"/>
      <c r="T26" s="5"/>
    </row>
    <row r="27" spans="1:32" s="1" customFormat="1" ht="12.6" customHeight="1">
      <c r="A27" s="24">
        <v>25</v>
      </c>
      <c r="B27" s="8" t="s">
        <v>2</v>
      </c>
      <c r="C27" s="9">
        <v>2</v>
      </c>
      <c r="D27" s="10">
        <v>33.564499999999995</v>
      </c>
      <c r="E27" s="10">
        <v>983.99199999999985</v>
      </c>
      <c r="F27" s="10">
        <v>21011.008000000002</v>
      </c>
      <c r="G27" s="9"/>
      <c r="H27" s="29"/>
      <c r="I27" s="78"/>
      <c r="J27" s="79"/>
      <c r="K27" s="4"/>
      <c r="L27" s="4"/>
      <c r="M27" s="4"/>
      <c r="N27" s="4"/>
      <c r="O27" s="4"/>
      <c r="P27" s="4"/>
      <c r="Q27" s="4"/>
      <c r="R27" s="4"/>
      <c r="S27" s="4"/>
      <c r="T27" s="5"/>
    </row>
    <row r="28" spans="1:32" s="1" customFormat="1" ht="12.6" customHeight="1">
      <c r="A28" s="24">
        <v>26</v>
      </c>
      <c r="B28" s="8" t="s">
        <v>2</v>
      </c>
      <c r="C28" s="9">
        <v>2</v>
      </c>
      <c r="D28" s="10">
        <v>33.364500000000007</v>
      </c>
      <c r="E28" s="10">
        <v>1017.3564999999999</v>
      </c>
      <c r="F28" s="10">
        <v>20977.643499999998</v>
      </c>
      <c r="G28" s="9"/>
      <c r="H28" s="29"/>
      <c r="I28" s="78"/>
      <c r="J28" s="79"/>
      <c r="K28" s="4"/>
      <c r="L28" s="4"/>
      <c r="M28" s="4"/>
      <c r="N28" s="4"/>
      <c r="O28" s="4"/>
      <c r="P28" s="4"/>
      <c r="Q28" s="4"/>
      <c r="R28" s="4"/>
      <c r="S28" s="4"/>
    </row>
    <row r="29" spans="1:32" s="2" customFormat="1" ht="12.6" customHeight="1">
      <c r="A29" s="24">
        <v>27</v>
      </c>
      <c r="B29" s="8" t="s">
        <v>2</v>
      </c>
      <c r="C29" s="9">
        <v>2</v>
      </c>
      <c r="D29" s="10">
        <v>33.564499999999995</v>
      </c>
      <c r="E29" s="10">
        <v>1050.9209999999998</v>
      </c>
      <c r="F29" s="10">
        <v>20944.079000000002</v>
      </c>
      <c r="G29" s="9"/>
      <c r="H29" s="29"/>
      <c r="I29" s="78"/>
      <c r="J29" s="79"/>
      <c r="K29" s="4"/>
      <c r="L29" s="4"/>
      <c r="M29" s="4"/>
      <c r="N29" s="4"/>
      <c r="O29" s="4"/>
      <c r="P29" s="4"/>
      <c r="Q29" s="4"/>
      <c r="R29" s="4"/>
      <c r="S29" s="4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s="1" customFormat="1" ht="12.6" customHeight="1">
      <c r="A30" s="24">
        <v>28</v>
      </c>
      <c r="B30" s="8" t="s">
        <v>2</v>
      </c>
      <c r="C30" s="9">
        <v>2</v>
      </c>
      <c r="D30" s="10">
        <v>33.094499999999996</v>
      </c>
      <c r="E30" s="10">
        <v>1084.0154999999997</v>
      </c>
      <c r="F30" s="10">
        <v>20910.984499999999</v>
      </c>
      <c r="G30" s="9"/>
      <c r="H30" s="29"/>
      <c r="I30" s="78"/>
      <c r="J30" s="79"/>
      <c r="K30" s="4"/>
      <c r="L30" s="4"/>
      <c r="M30" s="4"/>
      <c r="N30" s="4"/>
      <c r="O30" s="4"/>
      <c r="P30" s="4"/>
      <c r="Q30" s="4"/>
      <c r="R30" s="4"/>
      <c r="S30" s="4"/>
      <c r="T30" s="5"/>
    </row>
    <row r="31" spans="1:32" s="1" customFormat="1" ht="12.6" customHeight="1">
      <c r="A31" s="24">
        <v>29</v>
      </c>
      <c r="B31" s="8" t="s">
        <v>2</v>
      </c>
      <c r="C31" s="9">
        <v>2</v>
      </c>
      <c r="D31" s="10">
        <v>31.2545</v>
      </c>
      <c r="E31" s="10">
        <v>1115.2699999999998</v>
      </c>
      <c r="F31" s="10">
        <v>20879.73</v>
      </c>
      <c r="G31" s="9"/>
      <c r="H31" s="29"/>
      <c r="I31" s="78"/>
      <c r="J31" s="79"/>
      <c r="K31" s="4"/>
      <c r="L31" s="4"/>
      <c r="M31" s="4"/>
      <c r="N31" s="4"/>
      <c r="O31" s="4"/>
      <c r="P31" s="4"/>
      <c r="Q31" s="4"/>
      <c r="R31" s="4"/>
      <c r="S31" s="4"/>
      <c r="T31" s="5"/>
    </row>
    <row r="32" spans="1:32" s="1" customFormat="1" ht="12.6" customHeight="1">
      <c r="A32" s="24">
        <v>30</v>
      </c>
      <c r="B32" s="8" t="s">
        <v>2</v>
      </c>
      <c r="C32" s="9">
        <v>2</v>
      </c>
      <c r="D32" s="10">
        <v>33.534499999999994</v>
      </c>
      <c r="E32" s="10">
        <v>1148.8044999999997</v>
      </c>
      <c r="F32" s="10">
        <v>20846.195500000002</v>
      </c>
      <c r="G32" s="9"/>
      <c r="H32" s="29"/>
      <c r="I32" s="78"/>
      <c r="J32" s="79"/>
      <c r="K32" s="4"/>
      <c r="L32" s="4"/>
      <c r="M32" s="4"/>
      <c r="N32" s="4"/>
      <c r="O32" s="4"/>
      <c r="P32" s="4"/>
      <c r="Q32" s="4"/>
      <c r="R32" s="4"/>
      <c r="S32" s="4"/>
    </row>
    <row r="33" spans="1:20" s="1" customFormat="1" ht="12.6" customHeight="1">
      <c r="A33" s="24">
        <v>31</v>
      </c>
      <c r="B33" s="8" t="s">
        <v>2</v>
      </c>
      <c r="C33" s="9">
        <v>2</v>
      </c>
      <c r="D33" s="10">
        <v>32.864500000000007</v>
      </c>
      <c r="E33" s="10">
        <v>1181.6689999999996</v>
      </c>
      <c r="F33" s="10">
        <v>20813.331000000002</v>
      </c>
      <c r="G33" s="9"/>
      <c r="H33" s="29"/>
      <c r="I33" s="78"/>
      <c r="J33" s="79"/>
      <c r="K33" s="4"/>
      <c r="L33" s="4"/>
      <c r="M33" s="4"/>
      <c r="N33" s="4"/>
      <c r="O33" s="4"/>
      <c r="P33" s="4"/>
      <c r="Q33" s="4"/>
      <c r="R33" s="4"/>
      <c r="S33" s="4"/>
    </row>
    <row r="34" spans="1:20" s="1" customFormat="1" ht="12.6" customHeight="1">
      <c r="A34" s="24">
        <v>32</v>
      </c>
      <c r="B34" s="8" t="s">
        <v>2</v>
      </c>
      <c r="C34" s="9">
        <v>2</v>
      </c>
      <c r="D34" s="10">
        <v>33.534499999999994</v>
      </c>
      <c r="E34" s="10">
        <v>1215.2034999999996</v>
      </c>
      <c r="F34" s="10">
        <v>20779.7965</v>
      </c>
      <c r="G34" s="9"/>
      <c r="H34" s="29"/>
      <c r="I34" s="78"/>
      <c r="J34" s="79"/>
      <c r="K34" s="4"/>
      <c r="L34" s="4"/>
      <c r="M34" s="4"/>
      <c r="N34" s="4"/>
      <c r="O34" s="4"/>
      <c r="P34" s="4"/>
      <c r="Q34" s="4"/>
      <c r="R34" s="4"/>
      <c r="S34" s="4"/>
      <c r="T34" s="5"/>
    </row>
    <row r="35" spans="1:20" s="1" customFormat="1" ht="12.6" customHeight="1">
      <c r="A35" s="24">
        <v>33</v>
      </c>
      <c r="B35" s="8" t="s">
        <v>2</v>
      </c>
      <c r="C35" s="9">
        <v>2</v>
      </c>
      <c r="D35" s="10">
        <v>33.534499999999994</v>
      </c>
      <c r="E35" s="10">
        <v>1248.7379999999996</v>
      </c>
      <c r="F35" s="10">
        <v>20746.261999999999</v>
      </c>
      <c r="G35" s="9"/>
      <c r="H35" s="29"/>
      <c r="I35" s="78"/>
      <c r="J35" s="79"/>
      <c r="K35" s="4"/>
      <c r="L35" s="4"/>
      <c r="M35" s="4"/>
      <c r="N35" s="4"/>
      <c r="O35" s="4"/>
      <c r="P35" s="4"/>
      <c r="Q35" s="4"/>
      <c r="R35" s="4"/>
      <c r="S35" s="4"/>
    </row>
    <row r="36" spans="1:20" s="1" customFormat="1" ht="12.6" customHeight="1">
      <c r="A36" s="24">
        <v>34</v>
      </c>
      <c r="B36" s="8" t="s">
        <v>2</v>
      </c>
      <c r="C36" s="9">
        <v>2</v>
      </c>
      <c r="D36" s="10">
        <v>33.524500000000003</v>
      </c>
      <c r="E36" s="10">
        <v>1282.2624999999996</v>
      </c>
      <c r="F36" s="10">
        <v>20712.737499999999</v>
      </c>
      <c r="G36" s="9"/>
      <c r="H36" s="29"/>
      <c r="I36" s="78"/>
      <c r="J36" s="79"/>
      <c r="K36" s="4"/>
      <c r="L36" s="4"/>
      <c r="M36" s="4"/>
      <c r="N36" s="4"/>
      <c r="O36" s="4"/>
      <c r="P36" s="4"/>
      <c r="Q36" s="4"/>
      <c r="R36" s="4"/>
      <c r="S36" s="4"/>
    </row>
    <row r="37" spans="1:20" s="1" customFormat="1" ht="12.6" customHeight="1">
      <c r="A37" s="24">
        <v>35</v>
      </c>
      <c r="B37" s="8" t="s">
        <v>2</v>
      </c>
      <c r="C37" s="9">
        <v>2</v>
      </c>
      <c r="D37" s="10">
        <v>33.534499999999994</v>
      </c>
      <c r="E37" s="10">
        <v>1315.7969999999996</v>
      </c>
      <c r="F37" s="10">
        <v>20679.203000000001</v>
      </c>
      <c r="G37" s="9"/>
      <c r="H37" s="29"/>
      <c r="I37" s="78"/>
      <c r="J37" s="79"/>
      <c r="K37" s="4"/>
      <c r="L37" s="4"/>
      <c r="M37" s="4"/>
      <c r="N37" s="4"/>
      <c r="O37" s="4"/>
      <c r="P37" s="4"/>
      <c r="Q37" s="4"/>
      <c r="R37" s="4"/>
      <c r="S37" s="4"/>
    </row>
    <row r="38" spans="1:20" s="1" customFormat="1" ht="12.6" customHeight="1">
      <c r="A38" s="24">
        <v>36</v>
      </c>
      <c r="B38" s="8" t="s">
        <v>2</v>
      </c>
      <c r="C38" s="9">
        <v>2</v>
      </c>
      <c r="D38" s="10">
        <v>33.534499999999994</v>
      </c>
      <c r="E38" s="10">
        <v>1349.3314999999996</v>
      </c>
      <c r="F38" s="10">
        <v>20645.6685</v>
      </c>
      <c r="G38" s="9"/>
      <c r="H38" s="29"/>
      <c r="I38" s="78"/>
      <c r="J38" s="79"/>
      <c r="K38" s="4"/>
      <c r="L38" s="4"/>
      <c r="M38" s="4"/>
      <c r="N38" s="4"/>
      <c r="O38" s="4"/>
      <c r="P38" s="4"/>
      <c r="Q38" s="4"/>
      <c r="R38" s="4"/>
      <c r="S38" s="4"/>
    </row>
    <row r="39" spans="1:20" s="1" customFormat="1" ht="12.6" customHeight="1">
      <c r="A39" s="24">
        <v>37</v>
      </c>
      <c r="B39" s="8" t="s">
        <v>2</v>
      </c>
      <c r="C39" s="9">
        <v>2</v>
      </c>
      <c r="D39" s="10">
        <v>33.564499999999995</v>
      </c>
      <c r="E39" s="10">
        <v>1382.8959999999995</v>
      </c>
      <c r="F39" s="10">
        <v>20612.103999999999</v>
      </c>
      <c r="G39" s="9"/>
      <c r="H39" s="29"/>
      <c r="I39" s="78"/>
      <c r="J39" s="79"/>
      <c r="K39" s="4"/>
      <c r="L39" s="4"/>
      <c r="M39" s="4"/>
      <c r="N39" s="4"/>
      <c r="O39" s="4"/>
      <c r="P39" s="4"/>
      <c r="Q39" s="4"/>
      <c r="R39" s="4"/>
      <c r="S39" s="4"/>
    </row>
    <row r="40" spans="1:20" s="1" customFormat="1" ht="12.6" customHeight="1">
      <c r="A40" s="24">
        <v>38</v>
      </c>
      <c r="B40" s="8" t="s">
        <v>2</v>
      </c>
      <c r="C40" s="9">
        <v>2</v>
      </c>
      <c r="D40" s="10">
        <v>33.104500000000002</v>
      </c>
      <c r="E40" s="10">
        <v>1416.0004999999994</v>
      </c>
      <c r="F40" s="10">
        <v>20578.999500000002</v>
      </c>
      <c r="G40" s="9"/>
      <c r="H40" s="29"/>
      <c r="I40" s="78"/>
      <c r="J40" s="79"/>
      <c r="K40" s="4"/>
      <c r="L40" s="4"/>
      <c r="M40" s="4"/>
      <c r="N40" s="4"/>
      <c r="O40" s="4"/>
      <c r="P40" s="4"/>
      <c r="Q40" s="4"/>
      <c r="R40" s="4"/>
      <c r="S40" s="4"/>
    </row>
    <row r="41" spans="1:20" s="1" customFormat="1" ht="12.6" customHeight="1">
      <c r="A41" s="24">
        <v>39</v>
      </c>
      <c r="B41" s="8" t="s">
        <v>2</v>
      </c>
      <c r="C41" s="9">
        <v>2</v>
      </c>
      <c r="D41" s="10">
        <v>33.564499999999995</v>
      </c>
      <c r="E41" s="10">
        <v>1449.5649999999994</v>
      </c>
      <c r="F41" s="10">
        <v>20545.435000000001</v>
      </c>
      <c r="G41" s="9"/>
      <c r="H41" s="29"/>
      <c r="I41" s="78"/>
      <c r="J41" s="79"/>
      <c r="K41" s="4"/>
      <c r="L41" s="4"/>
      <c r="M41" s="4"/>
      <c r="N41" s="4"/>
      <c r="O41" s="4"/>
      <c r="P41" s="4"/>
      <c r="Q41" s="4"/>
      <c r="R41" s="4"/>
      <c r="S41" s="4"/>
    </row>
    <row r="42" spans="1:20" s="1" customFormat="1" ht="12.6" customHeight="1">
      <c r="A42" s="24">
        <v>40</v>
      </c>
      <c r="B42" s="8" t="s">
        <v>2</v>
      </c>
      <c r="C42" s="9">
        <v>2</v>
      </c>
      <c r="D42" s="10">
        <v>33.524500000000003</v>
      </c>
      <c r="E42" s="10">
        <v>1483.0894999999994</v>
      </c>
      <c r="F42" s="10">
        <v>20511.910500000002</v>
      </c>
      <c r="G42" s="9"/>
      <c r="H42" s="29"/>
      <c r="I42" s="78"/>
      <c r="J42" s="79"/>
      <c r="K42" s="4"/>
      <c r="L42" s="4"/>
      <c r="M42" s="4"/>
      <c r="N42" s="4"/>
      <c r="O42" s="4"/>
      <c r="P42" s="4"/>
      <c r="Q42" s="4"/>
      <c r="R42" s="4"/>
      <c r="S42" s="4"/>
    </row>
    <row r="43" spans="1:20" s="1" customFormat="1" ht="12.6" customHeight="1">
      <c r="A43" s="24">
        <v>41</v>
      </c>
      <c r="B43" s="8" t="s">
        <v>2</v>
      </c>
      <c r="C43" s="9">
        <v>2</v>
      </c>
      <c r="D43" s="10">
        <v>33.534499999999994</v>
      </c>
      <c r="E43" s="10">
        <v>1516.6239999999993</v>
      </c>
      <c r="F43" s="10">
        <v>20478.376</v>
      </c>
      <c r="G43" s="9"/>
      <c r="H43" s="29"/>
      <c r="I43" s="78"/>
      <c r="J43" s="79"/>
      <c r="K43" s="4"/>
      <c r="L43" s="4"/>
      <c r="M43" s="4"/>
      <c r="N43" s="4"/>
      <c r="O43" s="4"/>
      <c r="P43" s="4"/>
      <c r="Q43" s="4"/>
      <c r="R43" s="4"/>
      <c r="S43" s="4"/>
    </row>
    <row r="44" spans="1:20" s="1" customFormat="1" ht="12.6" customHeight="1">
      <c r="A44" s="24">
        <v>42</v>
      </c>
      <c r="B44" s="8" t="s">
        <v>2</v>
      </c>
      <c r="C44" s="9">
        <v>2</v>
      </c>
      <c r="D44" s="10">
        <v>33.384500000000003</v>
      </c>
      <c r="E44" s="10">
        <v>1550.0084999999995</v>
      </c>
      <c r="F44" s="10">
        <v>20444.9915</v>
      </c>
      <c r="G44" s="9"/>
      <c r="H44" s="29"/>
      <c r="I44" s="78"/>
      <c r="J44" s="79"/>
      <c r="K44" s="4"/>
      <c r="L44" s="4"/>
      <c r="M44" s="4"/>
      <c r="N44" s="4"/>
      <c r="O44" s="4"/>
      <c r="P44" s="4"/>
      <c r="Q44" s="4"/>
      <c r="R44" s="4"/>
      <c r="S44" s="4"/>
    </row>
    <row r="45" spans="1:20" s="1" customFormat="1" ht="12.6" customHeight="1">
      <c r="A45" s="24">
        <v>43</v>
      </c>
      <c r="B45" s="8" t="s">
        <v>2</v>
      </c>
      <c r="C45" s="9">
        <v>2</v>
      </c>
      <c r="D45" s="10">
        <v>33.564499999999995</v>
      </c>
      <c r="E45" s="10">
        <v>1583.5729999999994</v>
      </c>
      <c r="F45" s="10">
        <v>20411.427</v>
      </c>
      <c r="G45" s="9"/>
      <c r="H45" s="29"/>
      <c r="I45" s="78"/>
      <c r="J45" s="79"/>
      <c r="K45" s="4"/>
      <c r="L45" s="4"/>
      <c r="M45" s="4"/>
      <c r="N45" s="4"/>
      <c r="O45" s="4"/>
      <c r="P45" s="4"/>
      <c r="Q45" s="4"/>
      <c r="R45" s="4"/>
      <c r="S45" s="4"/>
    </row>
    <row r="46" spans="1:20" s="1" customFormat="1" ht="14.45" customHeight="1">
      <c r="A46" s="24">
        <v>44</v>
      </c>
      <c r="B46" s="8" t="s">
        <v>3</v>
      </c>
      <c r="C46" s="9">
        <v>2</v>
      </c>
      <c r="D46" s="10">
        <v>32.604500000000002</v>
      </c>
      <c r="E46" s="10">
        <v>1616.1774999999993</v>
      </c>
      <c r="F46" s="10">
        <v>20378.822500000002</v>
      </c>
      <c r="G46" s="9"/>
      <c r="H46" s="29"/>
      <c r="I46" s="74" t="s">
        <v>13</v>
      </c>
      <c r="J46" s="75"/>
      <c r="K46" s="4"/>
      <c r="L46" s="4"/>
      <c r="M46" s="4"/>
      <c r="N46" s="4"/>
      <c r="O46" s="4"/>
      <c r="P46" s="4"/>
      <c r="Q46" s="4"/>
      <c r="R46" s="4"/>
      <c r="S46" s="4"/>
    </row>
    <row r="47" spans="1:20" s="1" customFormat="1" ht="14.45" customHeight="1">
      <c r="A47" s="24">
        <v>45</v>
      </c>
      <c r="B47" s="8" t="s">
        <v>2</v>
      </c>
      <c r="C47" s="9">
        <v>2</v>
      </c>
      <c r="D47" s="10">
        <v>32.854500000000002</v>
      </c>
      <c r="E47" s="10">
        <v>1649.0319999999992</v>
      </c>
      <c r="F47" s="10">
        <v>20345.968000000001</v>
      </c>
      <c r="G47" s="9"/>
      <c r="H47" s="29"/>
      <c r="I47" s="72" t="s">
        <v>34</v>
      </c>
      <c r="J47" s="73"/>
      <c r="K47" s="4"/>
      <c r="L47" s="4"/>
      <c r="M47" s="4"/>
      <c r="N47" s="4"/>
      <c r="O47" s="4"/>
      <c r="P47" s="4"/>
      <c r="Q47" s="4"/>
      <c r="R47" s="4"/>
      <c r="S47" s="4"/>
    </row>
    <row r="48" spans="1:20" s="1" customFormat="1" ht="14.45" customHeight="1">
      <c r="A48" s="11">
        <v>46</v>
      </c>
      <c r="B48" s="8" t="s">
        <v>2</v>
      </c>
      <c r="C48" s="9">
        <v>2</v>
      </c>
      <c r="D48" s="10">
        <v>33.534499999999994</v>
      </c>
      <c r="E48" s="10">
        <v>1682.5664999999992</v>
      </c>
      <c r="F48" s="10">
        <v>20312.433499999999</v>
      </c>
      <c r="G48" s="9"/>
      <c r="H48" s="29"/>
      <c r="I48" s="72"/>
      <c r="J48" s="73"/>
      <c r="K48" s="4"/>
      <c r="L48" s="4"/>
      <c r="M48" s="4"/>
      <c r="N48" s="4"/>
      <c r="O48" s="4"/>
      <c r="P48" s="4"/>
      <c r="Q48" s="4"/>
      <c r="R48" s="4"/>
      <c r="S48" s="4"/>
    </row>
    <row r="49" spans="1:19" s="1" customFormat="1" ht="14.45" customHeight="1">
      <c r="A49" s="24">
        <v>47</v>
      </c>
      <c r="B49" s="8" t="s">
        <v>2</v>
      </c>
      <c r="C49" s="9">
        <v>2</v>
      </c>
      <c r="D49" s="10">
        <v>33.534499999999994</v>
      </c>
      <c r="E49" s="10">
        <v>1716.1009999999992</v>
      </c>
      <c r="F49" s="10">
        <v>20278.899000000001</v>
      </c>
      <c r="G49" s="9"/>
      <c r="H49" s="29"/>
      <c r="I49" s="72"/>
      <c r="J49" s="73"/>
      <c r="K49" s="4"/>
      <c r="L49" s="4"/>
      <c r="M49" s="4"/>
      <c r="N49" s="4"/>
      <c r="O49" s="4"/>
      <c r="P49" s="4"/>
      <c r="Q49" s="4"/>
      <c r="R49" s="4"/>
      <c r="S49" s="4"/>
    </row>
    <row r="50" spans="1:19" s="1" customFormat="1" ht="12.6" customHeight="1">
      <c r="A50" s="24">
        <v>48</v>
      </c>
      <c r="B50" s="8" t="s">
        <v>2</v>
      </c>
      <c r="C50" s="9">
        <v>2</v>
      </c>
      <c r="D50" s="10">
        <v>31.994499999999999</v>
      </c>
      <c r="E50" s="10">
        <v>1748.0954999999992</v>
      </c>
      <c r="F50" s="10">
        <v>20246.904500000001</v>
      </c>
      <c r="G50" s="9"/>
      <c r="H50" s="29"/>
      <c r="I50" s="78"/>
      <c r="J50" s="79"/>
      <c r="K50" s="4"/>
      <c r="L50" s="4"/>
      <c r="M50" s="4"/>
      <c r="N50" s="4"/>
      <c r="O50" s="4"/>
      <c r="P50" s="4"/>
      <c r="Q50" s="4"/>
      <c r="R50" s="4"/>
      <c r="S50" s="4"/>
    </row>
    <row r="51" spans="1:19" s="1" customFormat="1" ht="12.6" customHeight="1">
      <c r="A51" s="24">
        <v>49</v>
      </c>
      <c r="B51" s="8" t="s">
        <v>2</v>
      </c>
      <c r="C51" s="9">
        <v>2</v>
      </c>
      <c r="D51" s="10">
        <v>33.564499999999995</v>
      </c>
      <c r="E51" s="10">
        <v>1781.6599999999992</v>
      </c>
      <c r="F51" s="10">
        <v>20213.34</v>
      </c>
      <c r="G51" s="9"/>
      <c r="H51" s="29"/>
      <c r="I51" s="78"/>
      <c r="J51" s="79"/>
      <c r="K51" s="4"/>
      <c r="L51" s="4"/>
      <c r="M51" s="4"/>
      <c r="N51" s="4"/>
      <c r="O51" s="4"/>
      <c r="P51" s="4"/>
      <c r="Q51" s="4"/>
      <c r="R51" s="4"/>
      <c r="S51" s="4"/>
    </row>
    <row r="52" spans="1:19" s="1" customFormat="1" ht="12.6" customHeight="1">
      <c r="A52" s="24">
        <v>50</v>
      </c>
      <c r="B52" s="8" t="s">
        <v>2</v>
      </c>
      <c r="C52" s="9">
        <v>2</v>
      </c>
      <c r="D52" s="10">
        <v>33.404499999999999</v>
      </c>
      <c r="E52" s="10">
        <v>1815.0644999999993</v>
      </c>
      <c r="F52" s="10">
        <v>20179.9355</v>
      </c>
      <c r="G52" s="9"/>
      <c r="H52" s="29"/>
      <c r="I52" s="78"/>
      <c r="J52" s="79"/>
      <c r="K52" s="4"/>
      <c r="L52" s="4"/>
      <c r="M52" s="4"/>
      <c r="N52" s="4"/>
      <c r="O52" s="4"/>
      <c r="P52" s="4"/>
      <c r="Q52" s="4"/>
      <c r="R52" s="4"/>
      <c r="S52" s="4"/>
    </row>
    <row r="53" spans="1:19" s="1" customFormat="1" ht="12.6" customHeight="1">
      <c r="A53" s="24">
        <v>51</v>
      </c>
      <c r="B53" s="8" t="s">
        <v>2</v>
      </c>
      <c r="C53" s="9">
        <v>2</v>
      </c>
      <c r="D53" s="10">
        <v>33.554500000000004</v>
      </c>
      <c r="E53" s="10">
        <v>1848.6189999999992</v>
      </c>
      <c r="F53" s="10">
        <v>20146.381000000001</v>
      </c>
      <c r="G53" s="9"/>
      <c r="H53" s="29"/>
      <c r="I53" s="78"/>
      <c r="J53" s="79"/>
      <c r="K53" s="4"/>
      <c r="L53" s="4"/>
      <c r="M53" s="4"/>
      <c r="N53" s="4"/>
      <c r="O53" s="4"/>
      <c r="P53" s="4"/>
      <c r="Q53" s="4"/>
      <c r="R53" s="4"/>
      <c r="S53" s="4"/>
    </row>
    <row r="54" spans="1:19" s="1" customFormat="1" ht="12.6" customHeight="1">
      <c r="A54" s="11">
        <v>52</v>
      </c>
      <c r="B54" s="8" t="s">
        <v>2</v>
      </c>
      <c r="C54" s="9">
        <v>2</v>
      </c>
      <c r="D54" s="10">
        <v>33.564499999999995</v>
      </c>
      <c r="E54" s="10">
        <v>1882.1834999999992</v>
      </c>
      <c r="F54" s="10">
        <v>20112.816500000001</v>
      </c>
      <c r="G54" s="9"/>
      <c r="H54" s="29"/>
      <c r="I54" s="78"/>
      <c r="J54" s="79"/>
      <c r="K54" s="4"/>
      <c r="L54" s="4"/>
      <c r="M54" s="4"/>
      <c r="N54" s="4"/>
      <c r="O54" s="4"/>
      <c r="P54" s="4"/>
      <c r="Q54" s="4"/>
      <c r="R54" s="4"/>
      <c r="S54" s="4"/>
    </row>
    <row r="55" spans="1:19" s="1" customFormat="1" ht="12.6" customHeight="1">
      <c r="A55" s="11">
        <v>53</v>
      </c>
      <c r="B55" s="8" t="s">
        <v>2</v>
      </c>
      <c r="C55" s="9">
        <v>2</v>
      </c>
      <c r="D55" s="10">
        <v>33.534499999999994</v>
      </c>
      <c r="E55" s="10">
        <v>1915.7179999999992</v>
      </c>
      <c r="F55" s="10">
        <v>20079.281999999999</v>
      </c>
      <c r="G55" s="9"/>
      <c r="H55" s="29"/>
      <c r="I55" s="78"/>
      <c r="J55" s="79"/>
      <c r="K55" s="4"/>
      <c r="L55" s="4"/>
      <c r="M55" s="4"/>
      <c r="N55" s="4"/>
      <c r="O55" s="4"/>
      <c r="P55" s="4"/>
      <c r="Q55" s="4"/>
      <c r="R55" s="4"/>
      <c r="S55" s="4"/>
    </row>
    <row r="56" spans="1:19" s="1" customFormat="1" ht="12.6" customHeight="1">
      <c r="A56" s="11">
        <v>54</v>
      </c>
      <c r="B56" s="8" t="s">
        <v>2</v>
      </c>
      <c r="C56" s="9">
        <v>2</v>
      </c>
      <c r="D56" s="10">
        <v>33.564499999999995</v>
      </c>
      <c r="E56" s="10">
        <v>1949.2824999999991</v>
      </c>
      <c r="F56" s="10">
        <v>20045.717500000002</v>
      </c>
      <c r="G56" s="9"/>
      <c r="H56" s="29"/>
      <c r="I56" s="78"/>
      <c r="J56" s="79"/>
      <c r="K56" s="4"/>
      <c r="L56" s="4"/>
      <c r="M56" s="4"/>
      <c r="N56" s="4"/>
      <c r="O56" s="4"/>
      <c r="P56" s="4"/>
      <c r="Q56" s="4"/>
      <c r="R56" s="4"/>
      <c r="S56" s="4"/>
    </row>
    <row r="57" spans="1:19" s="1" customFormat="1" ht="12.6" customHeight="1">
      <c r="A57" s="11">
        <v>55</v>
      </c>
      <c r="B57" s="8" t="s">
        <v>2</v>
      </c>
      <c r="C57" s="9">
        <v>2</v>
      </c>
      <c r="D57" s="10">
        <v>33.564499999999995</v>
      </c>
      <c r="E57" s="10">
        <v>1982.8469999999991</v>
      </c>
      <c r="F57" s="10">
        <v>20012.153000000002</v>
      </c>
      <c r="G57" s="9"/>
      <c r="H57" s="29"/>
      <c r="I57" s="78"/>
      <c r="J57" s="79"/>
      <c r="K57" s="4"/>
      <c r="L57" s="4"/>
      <c r="M57" s="4"/>
      <c r="N57" s="4"/>
      <c r="O57" s="4"/>
      <c r="P57" s="4"/>
      <c r="Q57" s="4"/>
      <c r="R57" s="4"/>
      <c r="S57" s="4"/>
    </row>
    <row r="58" spans="1:19" s="1" customFormat="1" ht="12.6" customHeight="1">
      <c r="A58" s="11">
        <v>56</v>
      </c>
      <c r="B58" s="8" t="s">
        <v>2</v>
      </c>
      <c r="C58" s="9">
        <v>2</v>
      </c>
      <c r="D58" s="10">
        <v>33.114500000000007</v>
      </c>
      <c r="E58" s="10">
        <v>2015.961499999999</v>
      </c>
      <c r="F58" s="10">
        <v>19979.038500000002</v>
      </c>
      <c r="G58" s="9"/>
      <c r="H58" s="29"/>
      <c r="I58" s="78"/>
      <c r="J58" s="79"/>
      <c r="K58" s="4"/>
      <c r="L58" s="4"/>
      <c r="M58" s="4"/>
      <c r="N58" s="4"/>
      <c r="O58" s="4"/>
      <c r="P58" s="4"/>
      <c r="Q58" s="4"/>
      <c r="R58" s="4"/>
      <c r="S58" s="4"/>
    </row>
    <row r="59" spans="1:19" s="1" customFormat="1" ht="12.6" customHeight="1">
      <c r="A59" s="11">
        <v>57</v>
      </c>
      <c r="B59" s="8" t="s">
        <v>2</v>
      </c>
      <c r="C59" s="9">
        <v>2</v>
      </c>
      <c r="D59" s="10">
        <v>33.394499999999994</v>
      </c>
      <c r="E59" s="10">
        <v>2049.3559999999989</v>
      </c>
      <c r="F59" s="10">
        <v>19945.644</v>
      </c>
      <c r="G59" s="9"/>
      <c r="H59" s="29"/>
      <c r="I59" s="78"/>
      <c r="J59" s="79"/>
      <c r="K59" s="4"/>
      <c r="L59" s="4"/>
      <c r="M59" s="4"/>
      <c r="N59" s="4"/>
      <c r="O59" s="4"/>
      <c r="P59" s="4"/>
      <c r="Q59" s="4"/>
      <c r="R59" s="4"/>
      <c r="S59" s="4"/>
    </row>
    <row r="60" spans="1:19" s="1" customFormat="1" ht="12.6" customHeight="1">
      <c r="A60" s="11">
        <v>58</v>
      </c>
      <c r="B60" s="8" t="s">
        <v>2</v>
      </c>
      <c r="C60" s="9">
        <v>2</v>
      </c>
      <c r="D60" s="10">
        <v>33.104500000000002</v>
      </c>
      <c r="E60" s="10">
        <v>2082.4604999999988</v>
      </c>
      <c r="F60" s="10">
        <v>19912.539500000003</v>
      </c>
      <c r="G60" s="9"/>
      <c r="H60" s="29"/>
      <c r="I60" s="78"/>
      <c r="J60" s="79"/>
      <c r="K60" s="4"/>
      <c r="L60" s="4"/>
      <c r="M60" s="4"/>
      <c r="N60" s="4"/>
      <c r="O60" s="4"/>
      <c r="P60" s="4"/>
      <c r="Q60" s="4"/>
      <c r="R60" s="4"/>
      <c r="S60" s="4"/>
    </row>
    <row r="61" spans="1:19" s="1" customFormat="1" ht="12.6" customHeight="1">
      <c r="A61" s="11">
        <v>59</v>
      </c>
      <c r="B61" s="8" t="s">
        <v>2</v>
      </c>
      <c r="C61" s="9">
        <v>2</v>
      </c>
      <c r="D61" s="10">
        <v>31.464500000000001</v>
      </c>
      <c r="E61" s="10">
        <v>2113.9249999999988</v>
      </c>
      <c r="F61" s="10">
        <v>19881.075000000001</v>
      </c>
      <c r="G61" s="9"/>
      <c r="H61" s="29"/>
      <c r="I61" s="78"/>
      <c r="J61" s="79"/>
      <c r="K61" s="4"/>
      <c r="L61" s="4"/>
      <c r="M61" s="4"/>
      <c r="N61" s="4"/>
      <c r="O61" s="4"/>
      <c r="P61" s="4"/>
      <c r="Q61" s="4"/>
      <c r="R61" s="4"/>
      <c r="S61" s="4"/>
    </row>
    <row r="62" spans="1:19" s="1" customFormat="1" ht="12.6" customHeight="1">
      <c r="A62" s="11">
        <v>60</v>
      </c>
      <c r="B62" s="8" t="s">
        <v>2</v>
      </c>
      <c r="C62" s="9">
        <v>2</v>
      </c>
      <c r="D62" s="10">
        <v>33.404499999999999</v>
      </c>
      <c r="E62" s="10">
        <v>2147.3294999999989</v>
      </c>
      <c r="F62" s="10">
        <v>19847.6705</v>
      </c>
      <c r="G62" s="9"/>
      <c r="H62" s="29"/>
      <c r="I62" s="78"/>
      <c r="J62" s="79"/>
      <c r="K62" s="4"/>
      <c r="L62" s="4"/>
      <c r="M62" s="4"/>
      <c r="N62" s="4"/>
      <c r="O62" s="4"/>
      <c r="P62" s="4"/>
      <c r="Q62" s="4"/>
      <c r="R62" s="4"/>
      <c r="S62" s="4"/>
    </row>
    <row r="63" spans="1:19" s="1" customFormat="1" ht="12.6" customHeight="1">
      <c r="A63" s="11">
        <v>61</v>
      </c>
      <c r="B63" s="8" t="s">
        <v>2</v>
      </c>
      <c r="C63" s="9">
        <v>2</v>
      </c>
      <c r="D63" s="10">
        <v>33.414500000000004</v>
      </c>
      <c r="E63" s="10">
        <v>2180.7439999999988</v>
      </c>
      <c r="F63" s="10">
        <v>19814.256000000001</v>
      </c>
      <c r="G63" s="9"/>
      <c r="H63" s="29"/>
      <c r="I63" s="78"/>
      <c r="J63" s="79"/>
      <c r="K63" s="4"/>
      <c r="L63" s="4"/>
      <c r="M63" s="4"/>
      <c r="N63" s="4"/>
      <c r="O63" s="4"/>
      <c r="P63" s="4"/>
      <c r="Q63" s="4"/>
      <c r="R63" s="4"/>
      <c r="S63" s="4"/>
    </row>
    <row r="64" spans="1:19" s="1" customFormat="1" ht="12.6" customHeight="1">
      <c r="A64" s="11">
        <v>62</v>
      </c>
      <c r="B64" s="8" t="s">
        <v>2</v>
      </c>
      <c r="C64" s="9">
        <v>2</v>
      </c>
      <c r="D64" s="10">
        <v>31.724500000000003</v>
      </c>
      <c r="E64" s="10">
        <v>2212.4684999999986</v>
      </c>
      <c r="F64" s="10">
        <v>19782.531500000001</v>
      </c>
      <c r="G64" s="9"/>
      <c r="H64" s="29"/>
      <c r="I64" s="78"/>
      <c r="J64" s="79"/>
      <c r="K64" s="4"/>
      <c r="L64" s="4"/>
      <c r="M64" s="4"/>
      <c r="N64" s="4"/>
      <c r="O64" s="4"/>
      <c r="P64" s="4"/>
      <c r="Q64" s="4"/>
      <c r="R64" s="4"/>
      <c r="S64" s="4"/>
    </row>
    <row r="65" spans="1:19" s="1" customFormat="1" ht="12.6" customHeight="1">
      <c r="A65" s="11">
        <v>63</v>
      </c>
      <c r="B65" s="8" t="s">
        <v>2</v>
      </c>
      <c r="C65" s="9">
        <v>2</v>
      </c>
      <c r="D65" s="10">
        <v>33.554500000000004</v>
      </c>
      <c r="E65" s="10">
        <v>2246.0229999999988</v>
      </c>
      <c r="F65" s="10">
        <v>19748.977000000003</v>
      </c>
      <c r="G65" s="9"/>
      <c r="H65" s="29"/>
      <c r="I65" s="78"/>
      <c r="J65" s="79"/>
      <c r="K65" s="4"/>
      <c r="L65" s="4"/>
      <c r="M65" s="4"/>
      <c r="N65" s="4"/>
      <c r="O65" s="4"/>
      <c r="P65" s="4"/>
      <c r="Q65" s="4"/>
      <c r="R65" s="4"/>
      <c r="S65" s="4"/>
    </row>
    <row r="66" spans="1:19" s="1" customFormat="1" ht="12.6" customHeight="1">
      <c r="A66" s="11">
        <v>64</v>
      </c>
      <c r="B66" s="8" t="s">
        <v>2</v>
      </c>
      <c r="C66" s="9">
        <v>2</v>
      </c>
      <c r="D66" s="10">
        <v>33.484499999999997</v>
      </c>
      <c r="E66" s="10">
        <v>2279.5074999999988</v>
      </c>
      <c r="F66" s="10">
        <v>19715.4925</v>
      </c>
      <c r="G66" s="9"/>
      <c r="H66" s="29"/>
      <c r="I66" s="78"/>
      <c r="J66" s="79"/>
      <c r="K66" s="4"/>
      <c r="L66" s="4"/>
      <c r="M66" s="4"/>
      <c r="N66" s="4"/>
      <c r="O66" s="4"/>
      <c r="P66" s="4"/>
      <c r="Q66" s="4"/>
      <c r="R66" s="4"/>
      <c r="S66" s="4"/>
    </row>
    <row r="67" spans="1:19" s="1" customFormat="1" ht="12.6" customHeight="1">
      <c r="A67" s="11">
        <v>65</v>
      </c>
      <c r="B67" s="8" t="s">
        <v>2</v>
      </c>
      <c r="C67" s="9">
        <v>2</v>
      </c>
      <c r="D67" s="10">
        <v>31.264500000000002</v>
      </c>
      <c r="E67" s="10">
        <v>2310.771999999999</v>
      </c>
      <c r="F67" s="10">
        <v>19684.228000000003</v>
      </c>
      <c r="G67" s="9"/>
      <c r="H67" s="29"/>
      <c r="I67" s="78"/>
      <c r="J67" s="79"/>
      <c r="K67" s="4"/>
      <c r="L67" s="4"/>
      <c r="M67" s="4"/>
      <c r="N67" s="4"/>
      <c r="O67" s="4"/>
      <c r="P67" s="4"/>
      <c r="Q67" s="4"/>
      <c r="R67" s="4"/>
      <c r="S67" s="4"/>
    </row>
    <row r="68" spans="1:19" s="1" customFormat="1" ht="12.6" customHeight="1">
      <c r="A68" s="11">
        <v>66</v>
      </c>
      <c r="B68" s="8" t="s">
        <v>2</v>
      </c>
      <c r="C68" s="9">
        <v>2</v>
      </c>
      <c r="D68" s="10">
        <v>33.564499999999995</v>
      </c>
      <c r="E68" s="10">
        <v>2344.336499999999</v>
      </c>
      <c r="F68" s="10">
        <v>19650.663500000002</v>
      </c>
      <c r="G68" s="9"/>
      <c r="H68" s="29"/>
      <c r="I68" s="78"/>
      <c r="J68" s="79"/>
      <c r="K68" s="4"/>
      <c r="L68" s="4"/>
      <c r="M68" s="4"/>
      <c r="N68" s="4"/>
      <c r="O68" s="4"/>
      <c r="P68" s="4"/>
      <c r="Q68" s="4"/>
      <c r="R68" s="4"/>
      <c r="S68" s="4"/>
    </row>
    <row r="69" spans="1:19" s="1" customFormat="1" ht="12.6" customHeight="1">
      <c r="A69" s="11">
        <v>67</v>
      </c>
      <c r="B69" s="8" t="s">
        <v>2</v>
      </c>
      <c r="C69" s="9">
        <v>2</v>
      </c>
      <c r="D69" s="10">
        <v>33.554500000000004</v>
      </c>
      <c r="E69" s="10">
        <v>2377.8909999999992</v>
      </c>
      <c r="F69" s="10">
        <v>19617.109</v>
      </c>
      <c r="G69" s="9"/>
      <c r="H69" s="29"/>
      <c r="I69" s="78"/>
      <c r="J69" s="79"/>
      <c r="K69" s="4"/>
      <c r="L69" s="4"/>
      <c r="M69" s="4"/>
      <c r="N69" s="4"/>
      <c r="O69" s="4"/>
      <c r="P69" s="4"/>
      <c r="Q69" s="4"/>
      <c r="R69" s="4"/>
      <c r="S69" s="4"/>
    </row>
    <row r="70" spans="1:19" s="1" customFormat="1" ht="12.6" customHeight="1">
      <c r="A70" s="11">
        <v>68</v>
      </c>
      <c r="B70" s="8" t="s">
        <v>2</v>
      </c>
      <c r="C70" s="9">
        <v>2</v>
      </c>
      <c r="D70" s="10">
        <v>33.494500000000002</v>
      </c>
      <c r="E70" s="10">
        <v>2411.385499999999</v>
      </c>
      <c r="F70" s="10">
        <v>19583.6145</v>
      </c>
      <c r="G70" s="9"/>
      <c r="H70" s="29"/>
      <c r="I70" s="78"/>
      <c r="J70" s="79"/>
      <c r="K70" s="4"/>
      <c r="L70" s="4"/>
      <c r="M70" s="4"/>
      <c r="N70" s="4"/>
      <c r="O70" s="4"/>
      <c r="P70" s="4"/>
      <c r="Q70" s="4"/>
      <c r="R70" s="4"/>
      <c r="S70" s="4"/>
    </row>
    <row r="71" spans="1:19" s="1" customFormat="1" ht="12.6" customHeight="1">
      <c r="A71" s="11">
        <v>69</v>
      </c>
      <c r="B71" s="8" t="s">
        <v>2</v>
      </c>
      <c r="C71" s="9">
        <v>2</v>
      </c>
      <c r="D71" s="10">
        <v>33.554500000000004</v>
      </c>
      <c r="E71" s="10">
        <v>2444.9399999999991</v>
      </c>
      <c r="F71" s="10">
        <v>19550.060000000001</v>
      </c>
      <c r="G71" s="9"/>
      <c r="H71" s="29"/>
      <c r="I71" s="78"/>
      <c r="J71" s="79"/>
      <c r="K71" s="4"/>
      <c r="L71" s="4"/>
      <c r="M71" s="4"/>
      <c r="N71" s="4"/>
      <c r="O71" s="4"/>
      <c r="P71" s="4"/>
      <c r="Q71" s="4"/>
      <c r="R71" s="4"/>
      <c r="S71" s="4"/>
    </row>
    <row r="72" spans="1:19" s="1" customFormat="1" ht="12.6" customHeight="1">
      <c r="A72" s="11">
        <v>70</v>
      </c>
      <c r="B72" s="8" t="s">
        <v>2</v>
      </c>
      <c r="C72" s="9">
        <v>2</v>
      </c>
      <c r="D72" s="10">
        <v>33.364500000000007</v>
      </c>
      <c r="E72" s="10">
        <v>2478.3044999999993</v>
      </c>
      <c r="F72" s="10">
        <v>19516.695500000002</v>
      </c>
      <c r="G72" s="9"/>
      <c r="H72" s="29"/>
      <c r="I72" s="78"/>
      <c r="J72" s="79"/>
      <c r="K72" s="4"/>
      <c r="L72" s="4"/>
      <c r="M72" s="4"/>
      <c r="N72" s="4"/>
      <c r="O72" s="4"/>
      <c r="P72" s="4"/>
      <c r="Q72" s="4"/>
      <c r="R72" s="4"/>
      <c r="S72" s="4"/>
    </row>
    <row r="73" spans="1:19" s="1" customFormat="1" ht="12.6" customHeight="1">
      <c r="A73" s="11">
        <v>71</v>
      </c>
      <c r="B73" s="8" t="s">
        <v>2</v>
      </c>
      <c r="C73" s="9">
        <v>2</v>
      </c>
      <c r="D73" s="10">
        <v>33.224500000000006</v>
      </c>
      <c r="E73" s="10">
        <v>2511.5289999999991</v>
      </c>
      <c r="F73" s="10">
        <v>19483.471000000001</v>
      </c>
      <c r="G73" s="9"/>
      <c r="H73" s="29"/>
      <c r="I73" s="78"/>
      <c r="J73" s="79"/>
      <c r="K73" s="4"/>
      <c r="L73" s="4"/>
      <c r="M73" s="4"/>
      <c r="N73" s="4"/>
      <c r="O73" s="4"/>
      <c r="P73" s="4"/>
      <c r="Q73" s="4"/>
      <c r="R73" s="4"/>
      <c r="S73" s="4"/>
    </row>
    <row r="74" spans="1:19" s="1" customFormat="1" ht="12.6" customHeight="1">
      <c r="A74" s="11">
        <v>72</v>
      </c>
      <c r="B74" s="8" t="s">
        <v>2</v>
      </c>
      <c r="C74" s="9">
        <v>2</v>
      </c>
      <c r="D74" s="10">
        <v>33.354500000000002</v>
      </c>
      <c r="E74" s="10">
        <v>2544.883499999999</v>
      </c>
      <c r="F74" s="10">
        <v>19450.1165</v>
      </c>
      <c r="G74" s="9"/>
      <c r="H74" s="29"/>
      <c r="I74" s="78"/>
      <c r="J74" s="79"/>
      <c r="K74" s="4"/>
      <c r="L74" s="4"/>
      <c r="M74" s="4"/>
      <c r="N74" s="4"/>
      <c r="O74" s="4"/>
      <c r="P74" s="4"/>
      <c r="Q74" s="4"/>
      <c r="R74" s="4"/>
      <c r="S74" s="4"/>
    </row>
    <row r="75" spans="1:19" s="1" customFormat="1" ht="12.6" customHeight="1">
      <c r="A75" s="11">
        <v>73</v>
      </c>
      <c r="B75" s="8" t="s">
        <v>2</v>
      </c>
      <c r="C75" s="9">
        <v>2</v>
      </c>
      <c r="D75" s="10">
        <v>33.554500000000004</v>
      </c>
      <c r="E75" s="10">
        <v>2578.4379999999992</v>
      </c>
      <c r="F75" s="10">
        <v>19416.562000000002</v>
      </c>
      <c r="G75" s="9"/>
      <c r="H75" s="29"/>
      <c r="I75" s="78"/>
      <c r="J75" s="79"/>
      <c r="K75" s="4"/>
      <c r="L75" s="4"/>
      <c r="M75" s="4"/>
      <c r="N75" s="4"/>
      <c r="O75" s="4"/>
      <c r="P75" s="4"/>
      <c r="Q75" s="4"/>
      <c r="R75" s="4"/>
      <c r="S75" s="4"/>
    </row>
    <row r="76" spans="1:19" s="1" customFormat="1" ht="12.6" customHeight="1">
      <c r="A76" s="11">
        <v>74</v>
      </c>
      <c r="B76" s="8" t="s">
        <v>2</v>
      </c>
      <c r="C76" s="9">
        <v>2</v>
      </c>
      <c r="D76" s="10">
        <v>33.384500000000003</v>
      </c>
      <c r="E76" s="10">
        <v>2611.8224999999993</v>
      </c>
      <c r="F76" s="10">
        <v>19383.177500000002</v>
      </c>
      <c r="G76" s="9"/>
      <c r="H76" s="29"/>
      <c r="I76" s="78"/>
      <c r="J76" s="79"/>
      <c r="K76" s="4"/>
      <c r="L76" s="4"/>
      <c r="M76" s="4"/>
      <c r="N76" s="4"/>
      <c r="O76" s="4"/>
      <c r="P76" s="4"/>
      <c r="Q76" s="4"/>
      <c r="R76" s="4"/>
      <c r="S76" s="4"/>
    </row>
    <row r="77" spans="1:19" s="1" customFormat="1" ht="12.6" customHeight="1">
      <c r="A77" s="11">
        <v>75</v>
      </c>
      <c r="B77" s="8" t="s">
        <v>2</v>
      </c>
      <c r="C77" s="9">
        <v>2</v>
      </c>
      <c r="D77" s="10">
        <v>33.554500000000004</v>
      </c>
      <c r="E77" s="10">
        <v>2645.3769999999995</v>
      </c>
      <c r="F77" s="10">
        <v>19349.623</v>
      </c>
      <c r="G77" s="9"/>
      <c r="H77" s="29"/>
      <c r="I77" s="78"/>
      <c r="J77" s="79"/>
      <c r="K77" s="4"/>
      <c r="L77" s="4"/>
      <c r="M77" s="4"/>
      <c r="N77" s="4"/>
      <c r="O77" s="4"/>
      <c r="P77" s="4"/>
      <c r="Q77" s="4"/>
      <c r="R77" s="4"/>
      <c r="S77" s="4"/>
    </row>
    <row r="78" spans="1:19" s="1" customFormat="1" ht="12.6" customHeight="1">
      <c r="A78" s="11">
        <v>76</v>
      </c>
      <c r="B78" s="8" t="s">
        <v>2</v>
      </c>
      <c r="C78" s="9">
        <v>2</v>
      </c>
      <c r="D78" s="10">
        <v>33.544499999999999</v>
      </c>
      <c r="E78" s="10">
        <v>2678.9214999999995</v>
      </c>
      <c r="F78" s="10">
        <v>19316.0785</v>
      </c>
      <c r="G78" s="9"/>
      <c r="H78" s="29"/>
      <c r="I78" s="78"/>
      <c r="J78" s="79"/>
      <c r="K78" s="4"/>
      <c r="L78" s="4"/>
      <c r="M78" s="4"/>
      <c r="N78" s="4"/>
      <c r="O78" s="4"/>
      <c r="P78" s="4"/>
      <c r="Q78" s="4"/>
      <c r="R78" s="4"/>
      <c r="S78" s="4"/>
    </row>
    <row r="79" spans="1:19" s="1" customFormat="1" ht="12.6" customHeight="1">
      <c r="A79" s="11">
        <v>77</v>
      </c>
      <c r="B79" s="8" t="s">
        <v>2</v>
      </c>
      <c r="C79" s="9">
        <v>2</v>
      </c>
      <c r="D79" s="10">
        <v>32.754499999999993</v>
      </c>
      <c r="E79" s="10">
        <v>2711.6759999999995</v>
      </c>
      <c r="F79" s="10">
        <v>19283.324000000001</v>
      </c>
      <c r="G79" s="9"/>
      <c r="H79" s="29"/>
      <c r="I79" s="78"/>
      <c r="J79" s="79"/>
      <c r="K79" s="4"/>
      <c r="L79" s="4"/>
      <c r="M79" s="4"/>
      <c r="N79" s="4"/>
      <c r="O79" s="4"/>
      <c r="P79" s="4"/>
      <c r="Q79" s="4"/>
      <c r="R79" s="4"/>
      <c r="S79" s="4"/>
    </row>
    <row r="80" spans="1:19" s="1" customFormat="1" ht="12.6" customHeight="1">
      <c r="A80" s="11">
        <v>78</v>
      </c>
      <c r="B80" s="8" t="s">
        <v>2</v>
      </c>
      <c r="C80" s="9">
        <v>2</v>
      </c>
      <c r="D80" s="10">
        <v>33.264499999999998</v>
      </c>
      <c r="E80" s="10">
        <v>2744.9404999999997</v>
      </c>
      <c r="F80" s="10">
        <v>19250.059499999999</v>
      </c>
      <c r="G80" s="9"/>
      <c r="H80" s="29"/>
      <c r="I80" s="78"/>
      <c r="J80" s="79"/>
      <c r="K80" s="4"/>
      <c r="L80" s="4"/>
      <c r="M80" s="4"/>
      <c r="N80" s="4"/>
      <c r="O80" s="4"/>
      <c r="P80" s="4"/>
      <c r="Q80" s="4"/>
      <c r="R80" s="4"/>
      <c r="S80" s="4"/>
    </row>
    <row r="81" spans="1:19" s="1" customFormat="1" ht="12.6" customHeight="1">
      <c r="A81" s="11">
        <v>79</v>
      </c>
      <c r="B81" s="8" t="s">
        <v>2</v>
      </c>
      <c r="C81" s="9">
        <v>2</v>
      </c>
      <c r="D81" s="10">
        <v>33.044499999999999</v>
      </c>
      <c r="E81" s="10">
        <v>2777.9849999999997</v>
      </c>
      <c r="F81" s="10">
        <v>19217.014999999999</v>
      </c>
      <c r="G81" s="9"/>
      <c r="H81" s="29"/>
      <c r="I81" s="78"/>
      <c r="J81" s="79"/>
      <c r="K81" s="4"/>
      <c r="L81" s="4"/>
      <c r="M81" s="4"/>
      <c r="N81" s="4"/>
      <c r="O81" s="4"/>
      <c r="P81" s="4"/>
      <c r="Q81" s="4"/>
      <c r="R81" s="4"/>
      <c r="S81" s="4"/>
    </row>
    <row r="82" spans="1:19" s="1" customFormat="1" ht="12.6" customHeight="1">
      <c r="A82" s="11">
        <v>80</v>
      </c>
      <c r="B82" s="8" t="s">
        <v>2</v>
      </c>
      <c r="C82" s="9">
        <v>2</v>
      </c>
      <c r="D82" s="10">
        <v>32.064499999999995</v>
      </c>
      <c r="E82" s="10">
        <v>2810.0494999999996</v>
      </c>
      <c r="F82" s="10">
        <v>19184.950499999999</v>
      </c>
      <c r="G82" s="9"/>
      <c r="H82" s="29"/>
      <c r="I82" s="78"/>
      <c r="J82" s="79"/>
      <c r="K82" s="4"/>
      <c r="L82" s="4"/>
      <c r="M82" s="4"/>
      <c r="N82" s="4"/>
      <c r="O82" s="4"/>
      <c r="P82" s="4"/>
      <c r="Q82" s="4"/>
      <c r="R82" s="4"/>
      <c r="S82" s="4"/>
    </row>
    <row r="83" spans="1:19" s="1" customFormat="1" ht="12.6" customHeight="1">
      <c r="A83" s="11">
        <v>81</v>
      </c>
      <c r="B83" s="8" t="s">
        <v>2</v>
      </c>
      <c r="C83" s="9">
        <v>2</v>
      </c>
      <c r="D83" s="10">
        <v>33.534499999999994</v>
      </c>
      <c r="E83" s="10">
        <v>2843.5839999999998</v>
      </c>
      <c r="F83" s="10">
        <v>19151.416000000001</v>
      </c>
      <c r="G83" s="9"/>
      <c r="H83" s="29"/>
      <c r="I83" s="78"/>
      <c r="J83" s="79"/>
      <c r="K83" s="4"/>
      <c r="L83" s="4"/>
      <c r="M83" s="4"/>
      <c r="N83" s="4"/>
      <c r="O83" s="4"/>
      <c r="P83" s="4"/>
      <c r="Q83" s="4"/>
      <c r="R83" s="4"/>
      <c r="S83" s="4"/>
    </row>
    <row r="84" spans="1:19" s="1" customFormat="1" ht="12.6" customHeight="1">
      <c r="A84" s="11">
        <v>82</v>
      </c>
      <c r="B84" s="8" t="s">
        <v>2</v>
      </c>
      <c r="C84" s="9">
        <v>2</v>
      </c>
      <c r="D84" s="10">
        <v>33.524500000000003</v>
      </c>
      <c r="E84" s="10">
        <v>2877.1084999999998</v>
      </c>
      <c r="F84" s="10">
        <v>19117.891500000002</v>
      </c>
      <c r="G84" s="9"/>
      <c r="H84" s="29"/>
      <c r="I84" s="78"/>
      <c r="J84" s="79"/>
      <c r="K84" s="4"/>
      <c r="L84" s="4"/>
      <c r="M84" s="4"/>
      <c r="N84" s="4"/>
      <c r="O84" s="4"/>
      <c r="P84" s="4"/>
      <c r="Q84" s="4"/>
      <c r="R84" s="4"/>
      <c r="S84" s="4"/>
    </row>
    <row r="85" spans="1:19" s="1" customFormat="1" ht="12.6" customHeight="1">
      <c r="A85" s="11">
        <v>83</v>
      </c>
      <c r="B85" s="8" t="s">
        <v>2</v>
      </c>
      <c r="C85" s="9">
        <v>2</v>
      </c>
      <c r="D85" s="10">
        <v>32.954499999999996</v>
      </c>
      <c r="E85" s="10">
        <v>2910.0629999999996</v>
      </c>
      <c r="F85" s="10">
        <v>19084.937000000002</v>
      </c>
      <c r="G85" s="9"/>
      <c r="H85" s="29"/>
      <c r="I85" s="78"/>
      <c r="J85" s="79"/>
      <c r="K85" s="4"/>
      <c r="L85" s="4"/>
      <c r="M85" s="4"/>
      <c r="N85" s="4"/>
      <c r="O85" s="4"/>
      <c r="P85" s="4"/>
      <c r="Q85" s="4"/>
      <c r="R85" s="4"/>
      <c r="S85" s="4"/>
    </row>
    <row r="86" spans="1:19" s="1" customFormat="1" ht="12.6" customHeight="1">
      <c r="A86" s="11">
        <v>84</v>
      </c>
      <c r="B86" s="8" t="s">
        <v>2</v>
      </c>
      <c r="C86" s="9">
        <v>2</v>
      </c>
      <c r="D86" s="10">
        <v>33.004499999999993</v>
      </c>
      <c r="E86" s="10">
        <v>2943.0674999999997</v>
      </c>
      <c r="F86" s="10">
        <v>19051.932499999999</v>
      </c>
      <c r="G86" s="9"/>
      <c r="H86" s="29">
        <f t="shared" ref="H86:H149" si="0">G86-F86</f>
        <v>-19051.932499999999</v>
      </c>
      <c r="I86" s="80"/>
      <c r="J86" s="81"/>
      <c r="K86" s="4"/>
      <c r="L86" s="4"/>
      <c r="M86" s="4"/>
      <c r="N86" s="4"/>
      <c r="O86" s="4"/>
      <c r="P86" s="4"/>
      <c r="Q86" s="4"/>
      <c r="R86" s="4"/>
      <c r="S86" s="4"/>
    </row>
    <row r="87" spans="1:19" s="1" customFormat="1" ht="14.45" customHeight="1">
      <c r="A87" s="11">
        <v>85</v>
      </c>
      <c r="B87" s="8" t="s">
        <v>2</v>
      </c>
      <c r="C87" s="9">
        <v>2</v>
      </c>
      <c r="D87" s="10">
        <v>32.794499999999999</v>
      </c>
      <c r="E87" s="10">
        <v>2975.8619999999996</v>
      </c>
      <c r="F87" s="10">
        <v>19019.137999999999</v>
      </c>
      <c r="G87" s="9"/>
      <c r="H87" s="29">
        <f t="shared" si="0"/>
        <v>-19019.137999999999</v>
      </c>
      <c r="I87" s="74" t="s">
        <v>14</v>
      </c>
      <c r="J87" s="75"/>
      <c r="K87" s="4"/>
      <c r="L87" s="4"/>
      <c r="M87" s="4"/>
      <c r="N87" s="4"/>
      <c r="O87" s="4"/>
      <c r="P87" s="4"/>
      <c r="Q87" s="4"/>
      <c r="R87" s="4"/>
      <c r="S87" s="4"/>
    </row>
    <row r="88" spans="1:19" s="1" customFormat="1" ht="14.45" customHeight="1">
      <c r="A88" s="50">
        <v>86</v>
      </c>
      <c r="B88" s="51" t="s">
        <v>2</v>
      </c>
      <c r="C88" s="41">
        <v>1</v>
      </c>
      <c r="D88" s="52">
        <v>33.384500000000003</v>
      </c>
      <c r="E88" s="52">
        <v>3009.2464999999997</v>
      </c>
      <c r="F88" s="52">
        <v>18985.753499999999</v>
      </c>
      <c r="G88" s="38"/>
      <c r="H88" s="29">
        <f t="shared" si="0"/>
        <v>-18985.753499999999</v>
      </c>
      <c r="I88" s="72" t="s">
        <v>35</v>
      </c>
      <c r="J88" s="73"/>
      <c r="K88" s="4"/>
      <c r="L88" s="4"/>
      <c r="M88" s="4"/>
      <c r="N88" s="4"/>
      <c r="O88" s="4"/>
      <c r="P88" s="4"/>
      <c r="Q88" s="4"/>
      <c r="R88" s="4"/>
      <c r="S88" s="4"/>
    </row>
    <row r="89" spans="1:19" s="1" customFormat="1" ht="14.45" customHeight="1">
      <c r="A89" s="24">
        <v>87</v>
      </c>
      <c r="B89" s="8" t="s">
        <v>2</v>
      </c>
      <c r="C89" s="9">
        <v>2</v>
      </c>
      <c r="D89" s="10">
        <v>33.334500000000006</v>
      </c>
      <c r="E89" s="10">
        <v>3042.5809999999997</v>
      </c>
      <c r="F89" s="12">
        <v>18952.419000000002</v>
      </c>
      <c r="G89" s="9">
        <v>18948</v>
      </c>
      <c r="H89" s="29">
        <f t="shared" si="0"/>
        <v>-4.419000000001688</v>
      </c>
      <c r="I89" s="72"/>
      <c r="J89" s="73"/>
      <c r="K89" s="4"/>
      <c r="L89" s="4"/>
      <c r="M89" s="4"/>
      <c r="N89" s="4"/>
      <c r="O89" s="4"/>
      <c r="P89" s="4"/>
      <c r="Q89" s="4"/>
      <c r="R89" s="4"/>
      <c r="S89" s="4"/>
    </row>
    <row r="90" spans="1:19" s="1" customFormat="1" ht="14.45" customHeight="1">
      <c r="A90" s="84" t="s">
        <v>36</v>
      </c>
      <c r="B90" s="85"/>
      <c r="C90" s="54">
        <v>1</v>
      </c>
      <c r="D90" s="55">
        <v>9.8145000000000007</v>
      </c>
      <c r="E90" s="55">
        <v>3052.3954999999996</v>
      </c>
      <c r="F90" s="55">
        <v>18942.604500000001</v>
      </c>
      <c r="G90" s="35">
        <v>18938</v>
      </c>
      <c r="H90" s="29">
        <f>G90-F90</f>
        <v>-4.6045000000012806</v>
      </c>
      <c r="I90" s="72"/>
      <c r="J90" s="73"/>
      <c r="K90" s="4"/>
      <c r="L90" s="4"/>
      <c r="M90" s="4"/>
      <c r="N90" s="4"/>
      <c r="O90" s="4"/>
      <c r="P90" s="4"/>
      <c r="Q90" s="4"/>
      <c r="R90" s="4"/>
      <c r="S90" s="4"/>
    </row>
    <row r="91" spans="1:19" s="1" customFormat="1" ht="12.6" customHeight="1">
      <c r="A91" s="11">
        <v>88</v>
      </c>
      <c r="B91" s="8" t="s">
        <v>2</v>
      </c>
      <c r="C91" s="9">
        <v>2</v>
      </c>
      <c r="D91" s="10">
        <v>33.394499999999994</v>
      </c>
      <c r="E91" s="10">
        <v>3085.7899999999995</v>
      </c>
      <c r="F91" s="10">
        <v>18909.21</v>
      </c>
      <c r="G91" s="39"/>
      <c r="H91" s="29">
        <f t="shared" si="0"/>
        <v>-18909.21</v>
      </c>
      <c r="I91" s="82"/>
      <c r="J91" s="83"/>
      <c r="K91" s="4"/>
      <c r="L91" s="4"/>
      <c r="M91" s="4"/>
      <c r="N91" s="4"/>
      <c r="O91" s="4"/>
      <c r="P91" s="4"/>
      <c r="Q91" s="4"/>
      <c r="R91" s="4"/>
      <c r="S91" s="4"/>
    </row>
    <row r="92" spans="1:19" s="1" customFormat="1" ht="14.45" customHeight="1">
      <c r="A92" s="84" t="s">
        <v>37</v>
      </c>
      <c r="B92" s="85"/>
      <c r="C92" s="54">
        <v>1</v>
      </c>
      <c r="D92" s="55">
        <v>19.814499999999999</v>
      </c>
      <c r="E92" s="55">
        <v>3105.6044999999995</v>
      </c>
      <c r="F92" s="55">
        <v>18889.395499999999</v>
      </c>
      <c r="G92" s="35">
        <v>18883</v>
      </c>
      <c r="H92" s="29">
        <f t="shared" si="0"/>
        <v>-6.3954999999987194</v>
      </c>
      <c r="I92" s="74" t="s">
        <v>15</v>
      </c>
      <c r="J92" s="75"/>
      <c r="K92" s="4"/>
      <c r="L92" s="4"/>
      <c r="M92" s="4"/>
      <c r="N92" s="4"/>
      <c r="O92" s="4"/>
      <c r="P92" s="4"/>
      <c r="Q92" s="4"/>
      <c r="R92" s="4"/>
      <c r="S92" s="4"/>
    </row>
    <row r="93" spans="1:19" s="1" customFormat="1" ht="14.45" customHeight="1">
      <c r="A93" s="65">
        <v>89</v>
      </c>
      <c r="B93" s="66" t="s">
        <v>2</v>
      </c>
      <c r="C93" s="67">
        <v>2</v>
      </c>
      <c r="D93" s="68">
        <v>32.634500000000003</v>
      </c>
      <c r="E93" s="68">
        <v>3138.2389999999996</v>
      </c>
      <c r="F93" s="68">
        <v>18856.760999999999</v>
      </c>
      <c r="G93" s="67">
        <v>18852</v>
      </c>
      <c r="H93" s="69">
        <f t="shared" si="0"/>
        <v>-4.760999999998603</v>
      </c>
      <c r="I93" s="72" t="s">
        <v>38</v>
      </c>
      <c r="J93" s="73"/>
      <c r="K93" s="4"/>
      <c r="L93" s="4"/>
      <c r="M93" s="4"/>
      <c r="N93" s="4"/>
      <c r="O93" s="4"/>
      <c r="P93" s="4"/>
      <c r="Q93" s="4"/>
      <c r="R93" s="4"/>
      <c r="S93" s="4"/>
    </row>
    <row r="94" spans="1:19" s="1" customFormat="1" ht="14.45" customHeight="1">
      <c r="A94" s="50">
        <v>90</v>
      </c>
      <c r="B94" s="51" t="s">
        <v>2</v>
      </c>
      <c r="C94" s="41">
        <v>1</v>
      </c>
      <c r="D94" s="52">
        <v>33.534499999999994</v>
      </c>
      <c r="E94" s="52">
        <v>3171.7734999999998</v>
      </c>
      <c r="F94" s="52">
        <v>18823.226500000001</v>
      </c>
      <c r="G94" s="38">
        <v>18816</v>
      </c>
      <c r="H94" s="29">
        <f t="shared" si="0"/>
        <v>-7.2265000000006694</v>
      </c>
      <c r="I94" s="72"/>
      <c r="J94" s="73"/>
      <c r="K94" s="4"/>
      <c r="L94" s="4"/>
      <c r="M94" s="4"/>
      <c r="N94" s="4"/>
      <c r="O94" s="4"/>
      <c r="P94" s="4"/>
      <c r="Q94" s="4"/>
      <c r="R94" s="4"/>
      <c r="S94" s="4"/>
    </row>
    <row r="95" spans="1:19" s="1" customFormat="1" ht="14.45" customHeight="1">
      <c r="A95" s="11">
        <v>91</v>
      </c>
      <c r="B95" s="8" t="s">
        <v>2</v>
      </c>
      <c r="C95" s="9">
        <v>2</v>
      </c>
      <c r="D95" s="10">
        <v>33.524500000000003</v>
      </c>
      <c r="E95" s="10">
        <v>3205.2979999999998</v>
      </c>
      <c r="F95" s="10">
        <v>18789.702000000001</v>
      </c>
      <c r="G95" s="9">
        <v>18785</v>
      </c>
      <c r="H95" s="29">
        <f t="shared" si="0"/>
        <v>-4.702000000001135</v>
      </c>
      <c r="I95" s="72"/>
      <c r="J95" s="73"/>
      <c r="K95" s="4"/>
      <c r="L95" s="4"/>
      <c r="M95" s="4"/>
      <c r="N95" s="4"/>
      <c r="O95" s="4"/>
      <c r="P95" s="4"/>
      <c r="Q95" s="4"/>
      <c r="R95" s="4"/>
      <c r="S95" s="4"/>
    </row>
    <row r="96" spans="1:19" s="1" customFormat="1" ht="12.6" customHeight="1">
      <c r="A96" s="11">
        <v>92</v>
      </c>
      <c r="B96" s="8" t="s">
        <v>2</v>
      </c>
      <c r="C96" s="9">
        <v>2</v>
      </c>
      <c r="D96" s="10">
        <v>33.474500000000006</v>
      </c>
      <c r="E96" s="10">
        <v>3238.7724999999996</v>
      </c>
      <c r="F96" s="10">
        <v>18756.227500000001</v>
      </c>
      <c r="G96" s="9">
        <v>18751</v>
      </c>
      <c r="H96" s="29">
        <f t="shared" si="0"/>
        <v>-5.2275000000008731</v>
      </c>
      <c r="I96" s="80"/>
      <c r="J96" s="81"/>
      <c r="K96" s="4"/>
      <c r="L96" s="4"/>
      <c r="M96" s="4"/>
      <c r="N96" s="4"/>
      <c r="O96" s="4"/>
      <c r="P96" s="4"/>
      <c r="Q96" s="4"/>
      <c r="R96" s="4"/>
      <c r="S96" s="4"/>
    </row>
    <row r="97" spans="1:19" s="1" customFormat="1" ht="12.6" customHeight="1">
      <c r="A97" s="11">
        <v>93</v>
      </c>
      <c r="B97" s="8" t="s">
        <v>2</v>
      </c>
      <c r="C97" s="9">
        <v>2</v>
      </c>
      <c r="D97" s="10">
        <v>33.564499999999995</v>
      </c>
      <c r="E97" s="10">
        <v>3272.3369999999995</v>
      </c>
      <c r="F97" s="10">
        <v>18722.663</v>
      </c>
      <c r="G97" s="9">
        <v>18716</v>
      </c>
      <c r="H97" s="29">
        <f t="shared" si="0"/>
        <v>-6.6630000000004657</v>
      </c>
      <c r="I97" s="78"/>
      <c r="J97" s="79"/>
      <c r="K97" s="4"/>
      <c r="L97" s="4"/>
      <c r="M97" s="4"/>
      <c r="N97" s="4"/>
      <c r="O97" s="4"/>
      <c r="P97" s="4"/>
      <c r="Q97" s="4"/>
      <c r="R97" s="4"/>
      <c r="S97" s="4"/>
    </row>
    <row r="98" spans="1:19" s="1" customFormat="1" ht="12.6" customHeight="1">
      <c r="A98" s="11">
        <v>94</v>
      </c>
      <c r="B98" s="8" t="s">
        <v>2</v>
      </c>
      <c r="C98" s="9">
        <v>2</v>
      </c>
      <c r="D98" s="10">
        <v>33.554500000000004</v>
      </c>
      <c r="E98" s="10">
        <v>3305.8914999999997</v>
      </c>
      <c r="F98" s="10">
        <v>18689.108500000002</v>
      </c>
      <c r="G98" s="9">
        <v>18684</v>
      </c>
      <c r="H98" s="29">
        <f t="shared" si="0"/>
        <v>-5.1085000000020955</v>
      </c>
      <c r="I98" s="78"/>
      <c r="J98" s="79"/>
      <c r="K98" s="4"/>
      <c r="L98" s="4"/>
      <c r="M98" s="4"/>
      <c r="N98" s="4"/>
      <c r="O98" s="4"/>
      <c r="P98" s="4"/>
      <c r="Q98" s="4"/>
      <c r="R98" s="4"/>
      <c r="S98" s="4"/>
    </row>
    <row r="99" spans="1:19" s="1" customFormat="1" ht="12.6" customHeight="1">
      <c r="A99" s="11">
        <v>95</v>
      </c>
      <c r="B99" s="8" t="s">
        <v>2</v>
      </c>
      <c r="C99" s="9">
        <v>2</v>
      </c>
      <c r="D99" s="10">
        <v>33.464500000000001</v>
      </c>
      <c r="E99" s="10">
        <v>3339.3559999999998</v>
      </c>
      <c r="F99" s="10">
        <v>18655.644</v>
      </c>
      <c r="G99" s="9">
        <v>18650</v>
      </c>
      <c r="H99" s="29">
        <f t="shared" si="0"/>
        <v>-5.6440000000002328</v>
      </c>
      <c r="I99" s="78"/>
      <c r="J99" s="79"/>
      <c r="K99" s="4"/>
      <c r="L99" s="4"/>
      <c r="M99" s="4"/>
      <c r="N99" s="4"/>
      <c r="O99" s="4"/>
      <c r="P99" s="4"/>
      <c r="Q99" s="4"/>
      <c r="R99" s="4"/>
      <c r="S99" s="4"/>
    </row>
    <row r="100" spans="1:19" s="1" customFormat="1" ht="12.6" customHeight="1">
      <c r="A100" s="11">
        <v>96</v>
      </c>
      <c r="B100" s="8" t="s">
        <v>2</v>
      </c>
      <c r="C100" s="9">
        <v>2</v>
      </c>
      <c r="D100" s="10">
        <v>33.534499999999994</v>
      </c>
      <c r="E100" s="10">
        <v>3372.8905</v>
      </c>
      <c r="F100" s="10">
        <v>18622.109499999999</v>
      </c>
      <c r="G100" s="9">
        <v>18616</v>
      </c>
      <c r="H100" s="29">
        <f t="shared" si="0"/>
        <v>-6.1094999999986612</v>
      </c>
      <c r="I100" s="78"/>
      <c r="J100" s="79"/>
      <c r="K100" s="4"/>
      <c r="L100" s="4"/>
      <c r="M100" s="4"/>
      <c r="N100" s="4"/>
      <c r="O100" s="4"/>
      <c r="P100" s="4"/>
      <c r="Q100" s="4"/>
      <c r="R100" s="4"/>
      <c r="S100" s="4"/>
    </row>
    <row r="101" spans="1:19" s="1" customFormat="1" ht="12.6" customHeight="1">
      <c r="A101" s="11">
        <v>97</v>
      </c>
      <c r="B101" s="8" t="s">
        <v>2</v>
      </c>
      <c r="C101" s="9">
        <v>2</v>
      </c>
      <c r="D101" s="10">
        <v>33.534499999999994</v>
      </c>
      <c r="E101" s="10">
        <v>3406.4250000000002</v>
      </c>
      <c r="F101" s="10">
        <v>18588.575000000001</v>
      </c>
      <c r="G101" s="9">
        <v>18582</v>
      </c>
      <c r="H101" s="29">
        <f t="shared" si="0"/>
        <v>-6.5750000000007276</v>
      </c>
      <c r="I101" s="78"/>
      <c r="J101" s="79"/>
      <c r="K101" s="4"/>
      <c r="L101" s="4"/>
      <c r="M101" s="4"/>
      <c r="N101" s="4"/>
      <c r="O101" s="4"/>
      <c r="P101" s="4"/>
      <c r="Q101" s="4"/>
      <c r="R101" s="4"/>
      <c r="S101" s="4"/>
    </row>
    <row r="102" spans="1:19" s="1" customFormat="1" ht="12.6" customHeight="1">
      <c r="A102" s="11">
        <v>98</v>
      </c>
      <c r="B102" s="8" t="s">
        <v>2</v>
      </c>
      <c r="C102" s="9">
        <v>2</v>
      </c>
      <c r="D102" s="10">
        <v>33.224500000000006</v>
      </c>
      <c r="E102" s="10">
        <v>3439.6495</v>
      </c>
      <c r="F102" s="10">
        <v>18555.3505</v>
      </c>
      <c r="G102" s="9">
        <v>18548</v>
      </c>
      <c r="H102" s="29">
        <f t="shared" si="0"/>
        <v>-7.3505000000004657</v>
      </c>
      <c r="I102" s="78"/>
      <c r="J102" s="79"/>
      <c r="K102" s="4"/>
      <c r="L102" s="4"/>
      <c r="M102" s="4"/>
      <c r="N102" s="4"/>
      <c r="O102" s="4"/>
      <c r="P102" s="4"/>
      <c r="Q102" s="4"/>
      <c r="R102" s="4"/>
      <c r="S102" s="4"/>
    </row>
    <row r="103" spans="1:19" s="1" customFormat="1" ht="12.6" customHeight="1">
      <c r="A103" s="11">
        <v>99</v>
      </c>
      <c r="B103" s="8" t="s">
        <v>2</v>
      </c>
      <c r="C103" s="9">
        <v>2</v>
      </c>
      <c r="D103" s="10">
        <v>33.504499999999993</v>
      </c>
      <c r="E103" s="10">
        <v>3473.154</v>
      </c>
      <c r="F103" s="10">
        <v>18521.846000000001</v>
      </c>
      <c r="G103" s="9">
        <v>18515</v>
      </c>
      <c r="H103" s="29">
        <f t="shared" si="0"/>
        <v>-6.8460000000013679</v>
      </c>
      <c r="I103" s="78"/>
      <c r="J103" s="79"/>
      <c r="K103" s="4"/>
      <c r="L103" s="4"/>
      <c r="M103" s="4"/>
      <c r="N103" s="4"/>
      <c r="O103" s="4"/>
      <c r="P103" s="4"/>
      <c r="Q103" s="4"/>
      <c r="R103" s="4"/>
      <c r="S103" s="4"/>
    </row>
    <row r="104" spans="1:19" s="1" customFormat="1" ht="12.6" customHeight="1">
      <c r="A104" s="11">
        <v>100</v>
      </c>
      <c r="B104" s="8" t="s">
        <v>2</v>
      </c>
      <c r="C104" s="9">
        <v>2</v>
      </c>
      <c r="D104" s="10">
        <v>33.344499999999996</v>
      </c>
      <c r="E104" s="10">
        <v>3506.4985000000001</v>
      </c>
      <c r="F104" s="10">
        <v>18488.501499999998</v>
      </c>
      <c r="G104" s="9">
        <v>18481</v>
      </c>
      <c r="H104" s="29">
        <f t="shared" si="0"/>
        <v>-7.5014999999984866</v>
      </c>
      <c r="I104" s="78"/>
      <c r="J104" s="79"/>
      <c r="K104" s="4"/>
      <c r="L104" s="4"/>
      <c r="M104" s="4"/>
      <c r="N104" s="4"/>
      <c r="O104" s="4"/>
      <c r="P104" s="4"/>
      <c r="Q104" s="4"/>
      <c r="R104" s="4"/>
      <c r="S104" s="4"/>
    </row>
    <row r="105" spans="1:19" s="1" customFormat="1" ht="12.6" customHeight="1">
      <c r="A105" s="11">
        <v>101</v>
      </c>
      <c r="B105" s="8" t="s">
        <v>2</v>
      </c>
      <c r="C105" s="9">
        <v>2</v>
      </c>
      <c r="D105" s="10">
        <v>33.194500000000005</v>
      </c>
      <c r="E105" s="10">
        <v>3539.6930000000002</v>
      </c>
      <c r="F105" s="10">
        <v>18455.307000000001</v>
      </c>
      <c r="G105" s="9">
        <v>18448</v>
      </c>
      <c r="H105" s="29">
        <f t="shared" si="0"/>
        <v>-7.3070000000006985</v>
      </c>
      <c r="I105" s="78"/>
      <c r="J105" s="79"/>
      <c r="K105" s="4"/>
      <c r="L105" s="4"/>
      <c r="M105" s="4"/>
      <c r="N105" s="4"/>
      <c r="O105" s="4"/>
      <c r="P105" s="4"/>
      <c r="Q105" s="4"/>
      <c r="R105" s="4"/>
      <c r="S105" s="4"/>
    </row>
    <row r="106" spans="1:19" s="1" customFormat="1" ht="12.6" customHeight="1">
      <c r="A106" s="11">
        <v>102</v>
      </c>
      <c r="B106" s="8" t="s">
        <v>2</v>
      </c>
      <c r="C106" s="9">
        <v>2</v>
      </c>
      <c r="D106" s="10">
        <v>33.274500000000003</v>
      </c>
      <c r="E106" s="10">
        <v>3572.9675000000002</v>
      </c>
      <c r="F106" s="10">
        <v>18422.032500000001</v>
      </c>
      <c r="G106" s="9">
        <v>18415</v>
      </c>
      <c r="H106" s="29">
        <f t="shared" si="0"/>
        <v>-7.0325000000011642</v>
      </c>
      <c r="I106" s="78"/>
      <c r="J106" s="79"/>
      <c r="K106" s="4"/>
      <c r="L106" s="4"/>
      <c r="M106" s="4"/>
      <c r="N106" s="4"/>
      <c r="O106" s="4"/>
      <c r="P106" s="4"/>
      <c r="Q106" s="4"/>
      <c r="R106" s="4"/>
      <c r="S106" s="4"/>
    </row>
    <row r="107" spans="1:19" s="1" customFormat="1" ht="12.6" customHeight="1">
      <c r="A107" s="11">
        <v>103</v>
      </c>
      <c r="B107" s="8" t="s">
        <v>2</v>
      </c>
      <c r="C107" s="9">
        <v>2</v>
      </c>
      <c r="D107" s="10">
        <v>32.974500000000006</v>
      </c>
      <c r="E107" s="10">
        <v>3605.942</v>
      </c>
      <c r="F107" s="10">
        <v>18389.058000000001</v>
      </c>
      <c r="G107" s="9">
        <v>18382</v>
      </c>
      <c r="H107" s="29">
        <f t="shared" si="0"/>
        <v>-7.0580000000009022</v>
      </c>
      <c r="I107" s="78"/>
      <c r="J107" s="79"/>
      <c r="K107" s="4"/>
      <c r="L107" s="4"/>
      <c r="M107" s="4"/>
      <c r="N107" s="4"/>
      <c r="O107" s="4"/>
      <c r="P107" s="4"/>
      <c r="Q107" s="4"/>
      <c r="R107" s="4"/>
      <c r="S107" s="4"/>
    </row>
    <row r="108" spans="1:19" s="1" customFormat="1" ht="12.6" customHeight="1">
      <c r="A108" s="11">
        <v>104</v>
      </c>
      <c r="B108" s="8" t="s">
        <v>2</v>
      </c>
      <c r="C108" s="9">
        <v>2</v>
      </c>
      <c r="D108" s="10">
        <v>31.864500000000003</v>
      </c>
      <c r="E108" s="10">
        <v>3637.8065000000001</v>
      </c>
      <c r="F108" s="10">
        <v>18357.193500000001</v>
      </c>
      <c r="G108" s="9">
        <v>18352</v>
      </c>
      <c r="H108" s="29">
        <f t="shared" si="0"/>
        <v>-5.1935000000012224</v>
      </c>
      <c r="I108" s="78"/>
      <c r="J108" s="79"/>
      <c r="K108" s="4"/>
      <c r="L108" s="4"/>
      <c r="M108" s="4"/>
      <c r="N108" s="4"/>
      <c r="O108" s="4"/>
      <c r="P108" s="4"/>
      <c r="Q108" s="4"/>
      <c r="R108" s="4"/>
      <c r="S108" s="4"/>
    </row>
    <row r="109" spans="1:19" s="1" customFormat="1" ht="12.6" customHeight="1">
      <c r="A109" s="11">
        <v>105</v>
      </c>
      <c r="B109" s="8" t="s">
        <v>2</v>
      </c>
      <c r="C109" s="9">
        <v>2</v>
      </c>
      <c r="D109" s="10">
        <v>33.284499999999994</v>
      </c>
      <c r="E109" s="10">
        <v>3671.0910000000003</v>
      </c>
      <c r="F109" s="10">
        <v>18323.909</v>
      </c>
      <c r="G109" s="9">
        <v>18318</v>
      </c>
      <c r="H109" s="29">
        <f t="shared" si="0"/>
        <v>-5.9089999999996508</v>
      </c>
      <c r="I109" s="78"/>
      <c r="J109" s="79"/>
      <c r="K109" s="4"/>
      <c r="L109" s="4"/>
      <c r="M109" s="4"/>
      <c r="N109" s="4"/>
      <c r="O109" s="4"/>
      <c r="P109" s="4"/>
      <c r="Q109" s="4"/>
      <c r="R109" s="4"/>
      <c r="S109" s="4"/>
    </row>
    <row r="110" spans="1:19" s="1" customFormat="1" ht="12.6" customHeight="1">
      <c r="A110" s="11">
        <v>106</v>
      </c>
      <c r="B110" s="8" t="s">
        <v>2</v>
      </c>
      <c r="C110" s="9">
        <v>2</v>
      </c>
      <c r="D110" s="10">
        <v>33.144499999999994</v>
      </c>
      <c r="E110" s="10">
        <v>3704.2355000000002</v>
      </c>
      <c r="F110" s="10">
        <v>18290.764500000001</v>
      </c>
      <c r="G110" s="9">
        <v>18285</v>
      </c>
      <c r="H110" s="29">
        <f t="shared" si="0"/>
        <v>-5.764500000001135</v>
      </c>
      <c r="I110" s="78"/>
      <c r="J110" s="79"/>
      <c r="K110" s="4"/>
      <c r="L110" s="4"/>
      <c r="M110" s="4"/>
      <c r="N110" s="4"/>
      <c r="O110" s="4"/>
      <c r="P110" s="4"/>
      <c r="Q110" s="4"/>
      <c r="R110" s="4"/>
      <c r="S110" s="4"/>
    </row>
    <row r="111" spans="1:19" s="1" customFormat="1" ht="12.6" customHeight="1">
      <c r="A111" s="11">
        <v>107</v>
      </c>
      <c r="B111" s="8" t="s">
        <v>2</v>
      </c>
      <c r="C111" s="9">
        <v>2</v>
      </c>
      <c r="D111" s="10">
        <v>31.7745</v>
      </c>
      <c r="E111" s="10">
        <v>3736.01</v>
      </c>
      <c r="F111" s="10">
        <v>18258.989999999998</v>
      </c>
      <c r="G111" s="9">
        <v>18252</v>
      </c>
      <c r="H111" s="29">
        <f t="shared" si="0"/>
        <v>-6.9899999999979627</v>
      </c>
      <c r="I111" s="78"/>
      <c r="J111" s="79"/>
      <c r="K111" s="4"/>
      <c r="L111" s="4"/>
      <c r="M111" s="4"/>
      <c r="N111" s="4"/>
      <c r="O111" s="4"/>
      <c r="P111" s="4"/>
      <c r="Q111" s="4"/>
      <c r="R111" s="4"/>
      <c r="S111" s="4"/>
    </row>
    <row r="112" spans="1:19" s="1" customFormat="1" ht="12.6" customHeight="1">
      <c r="A112" s="11">
        <v>108</v>
      </c>
      <c r="B112" s="8" t="s">
        <v>2</v>
      </c>
      <c r="C112" s="9">
        <v>2</v>
      </c>
      <c r="D112" s="10">
        <v>33.564499999999995</v>
      </c>
      <c r="E112" s="10">
        <v>3769.5745000000002</v>
      </c>
      <c r="F112" s="10">
        <v>18225.425500000001</v>
      </c>
      <c r="G112" s="9">
        <v>18220</v>
      </c>
      <c r="H112" s="29">
        <f t="shared" si="0"/>
        <v>-5.4255000000011933</v>
      </c>
      <c r="I112" s="78"/>
      <c r="J112" s="79"/>
      <c r="K112" s="4"/>
      <c r="L112" s="4"/>
      <c r="M112" s="4"/>
      <c r="N112" s="4"/>
      <c r="O112" s="4"/>
      <c r="P112" s="4"/>
      <c r="Q112" s="4"/>
      <c r="R112" s="4"/>
      <c r="S112" s="4"/>
    </row>
    <row r="113" spans="1:19" s="1" customFormat="1" ht="12.6" customHeight="1">
      <c r="A113" s="11">
        <v>109</v>
      </c>
      <c r="B113" s="8" t="s">
        <v>2</v>
      </c>
      <c r="C113" s="9">
        <v>2</v>
      </c>
      <c r="D113" s="10">
        <v>33.534499999999994</v>
      </c>
      <c r="E113" s="10">
        <v>3803.1090000000004</v>
      </c>
      <c r="F113" s="10">
        <v>18191.891</v>
      </c>
      <c r="G113" s="9">
        <v>18184</v>
      </c>
      <c r="H113" s="29">
        <f t="shared" si="0"/>
        <v>-7.8909999999996217</v>
      </c>
      <c r="I113" s="78"/>
      <c r="J113" s="79"/>
      <c r="K113" s="4"/>
      <c r="L113" s="4"/>
      <c r="M113" s="4"/>
      <c r="N113" s="4"/>
      <c r="O113" s="4"/>
      <c r="P113" s="4"/>
      <c r="Q113" s="4"/>
      <c r="R113" s="4"/>
      <c r="S113" s="4"/>
    </row>
    <row r="114" spans="1:19" s="1" customFormat="1" ht="12.6" customHeight="1">
      <c r="A114" s="11">
        <v>110</v>
      </c>
      <c r="B114" s="8" t="s">
        <v>2</v>
      </c>
      <c r="C114" s="9">
        <v>2</v>
      </c>
      <c r="D114" s="10">
        <v>33.244500000000002</v>
      </c>
      <c r="E114" s="10">
        <v>3836.3535000000002</v>
      </c>
      <c r="F114" s="10">
        <v>18158.646499999999</v>
      </c>
      <c r="G114" s="9">
        <v>18153</v>
      </c>
      <c r="H114" s="29">
        <f t="shared" si="0"/>
        <v>-5.6464999999989232</v>
      </c>
      <c r="I114" s="78"/>
      <c r="J114" s="79"/>
      <c r="K114" s="4"/>
      <c r="L114" s="4"/>
      <c r="M114" s="4"/>
      <c r="N114" s="4"/>
      <c r="O114" s="4"/>
      <c r="P114" s="4"/>
      <c r="Q114" s="4"/>
      <c r="R114" s="4"/>
      <c r="S114" s="4"/>
    </row>
    <row r="115" spans="1:19" s="1" customFormat="1" ht="12.6" customHeight="1">
      <c r="A115" s="11">
        <v>111</v>
      </c>
      <c r="B115" s="8" t="s">
        <v>2</v>
      </c>
      <c r="C115" s="9">
        <v>2</v>
      </c>
      <c r="D115" s="10">
        <v>33.394499999999994</v>
      </c>
      <c r="E115" s="10">
        <v>3869.748</v>
      </c>
      <c r="F115" s="10">
        <v>18125.252</v>
      </c>
      <c r="G115" s="9">
        <v>18117</v>
      </c>
      <c r="H115" s="29">
        <f t="shared" si="0"/>
        <v>-8.2520000000004075</v>
      </c>
      <c r="I115" s="78"/>
      <c r="J115" s="79"/>
      <c r="K115" s="4"/>
      <c r="L115" s="4"/>
      <c r="M115" s="4"/>
      <c r="N115" s="4"/>
      <c r="O115" s="4"/>
      <c r="P115" s="4"/>
      <c r="Q115" s="4"/>
      <c r="R115" s="4"/>
      <c r="S115" s="4"/>
    </row>
    <row r="116" spans="1:19" s="1" customFormat="1" ht="12.6" customHeight="1">
      <c r="A116" s="11">
        <v>112</v>
      </c>
      <c r="B116" s="8" t="s">
        <v>2</v>
      </c>
      <c r="C116" s="9">
        <v>2</v>
      </c>
      <c r="D116" s="10">
        <v>33.564499999999995</v>
      </c>
      <c r="E116" s="10">
        <v>3903.3125</v>
      </c>
      <c r="F116" s="10">
        <v>18091.6875</v>
      </c>
      <c r="G116" s="9">
        <v>18083</v>
      </c>
      <c r="H116" s="29">
        <f t="shared" si="0"/>
        <v>-8.6875</v>
      </c>
      <c r="I116" s="78"/>
      <c r="J116" s="79"/>
      <c r="K116" s="4"/>
      <c r="L116" s="4"/>
      <c r="M116" s="4"/>
      <c r="N116" s="4"/>
      <c r="O116" s="4"/>
      <c r="P116" s="4"/>
      <c r="Q116" s="4"/>
      <c r="R116" s="4"/>
      <c r="S116" s="4"/>
    </row>
    <row r="117" spans="1:19" s="1" customFormat="1" ht="12.6" customHeight="1">
      <c r="A117" s="11">
        <v>113</v>
      </c>
      <c r="B117" s="8" t="s">
        <v>2</v>
      </c>
      <c r="C117" s="9">
        <v>2</v>
      </c>
      <c r="D117" s="10">
        <v>33.564499999999995</v>
      </c>
      <c r="E117" s="10">
        <v>3936.877</v>
      </c>
      <c r="F117" s="10">
        <v>18058.123</v>
      </c>
      <c r="G117" s="9">
        <v>18049</v>
      </c>
      <c r="H117" s="29">
        <f t="shared" si="0"/>
        <v>-9.1229999999995925</v>
      </c>
      <c r="I117" s="78"/>
      <c r="J117" s="79"/>
      <c r="K117" s="4"/>
      <c r="L117" s="4"/>
      <c r="M117" s="4"/>
      <c r="N117" s="4"/>
      <c r="O117" s="4"/>
      <c r="P117" s="4"/>
      <c r="Q117" s="4"/>
      <c r="R117" s="4"/>
      <c r="S117" s="4"/>
    </row>
    <row r="118" spans="1:19" s="1" customFormat="1" ht="12.6" customHeight="1">
      <c r="A118" s="11">
        <v>114</v>
      </c>
      <c r="B118" s="8" t="s">
        <v>2</v>
      </c>
      <c r="C118" s="9">
        <v>2</v>
      </c>
      <c r="D118" s="10">
        <v>33.534499999999994</v>
      </c>
      <c r="E118" s="10">
        <v>3970.4115000000002</v>
      </c>
      <c r="F118" s="10">
        <v>18024.588499999998</v>
      </c>
      <c r="G118" s="9">
        <v>18016</v>
      </c>
      <c r="H118" s="29">
        <f t="shared" si="0"/>
        <v>-8.5884999999980209</v>
      </c>
      <c r="I118" s="78"/>
      <c r="J118" s="79"/>
      <c r="K118" s="4"/>
      <c r="L118" s="4"/>
      <c r="M118" s="4"/>
      <c r="N118" s="4"/>
      <c r="O118" s="4"/>
      <c r="P118" s="4"/>
      <c r="Q118" s="4"/>
      <c r="R118" s="4"/>
      <c r="S118" s="4"/>
    </row>
    <row r="119" spans="1:19" s="1" customFormat="1" ht="12.6" customHeight="1">
      <c r="A119" s="11">
        <v>115</v>
      </c>
      <c r="B119" s="8" t="s">
        <v>2</v>
      </c>
      <c r="C119" s="9">
        <v>2</v>
      </c>
      <c r="D119" s="10">
        <v>33.384500000000003</v>
      </c>
      <c r="E119" s="10">
        <v>4003.7960000000003</v>
      </c>
      <c r="F119" s="10">
        <v>17991.203999999998</v>
      </c>
      <c r="G119" s="9">
        <v>17981</v>
      </c>
      <c r="H119" s="29">
        <f t="shared" si="0"/>
        <v>-10.203999999997905</v>
      </c>
      <c r="I119" s="78"/>
      <c r="J119" s="79"/>
      <c r="K119" s="4"/>
      <c r="L119" s="4"/>
      <c r="M119" s="4"/>
      <c r="N119" s="4"/>
      <c r="O119" s="4"/>
      <c r="P119" s="4"/>
      <c r="Q119" s="4"/>
      <c r="R119" s="4"/>
      <c r="S119" s="4"/>
    </row>
    <row r="120" spans="1:19" s="1" customFormat="1" ht="12.6" customHeight="1">
      <c r="A120" s="11">
        <v>116</v>
      </c>
      <c r="B120" s="8" t="s">
        <v>2</v>
      </c>
      <c r="C120" s="9">
        <v>2</v>
      </c>
      <c r="D120" s="10">
        <v>32.964500000000001</v>
      </c>
      <c r="E120" s="10">
        <v>4036.7605000000003</v>
      </c>
      <c r="F120" s="10">
        <v>17958.2395</v>
      </c>
      <c r="G120" s="9">
        <v>17950</v>
      </c>
      <c r="H120" s="29">
        <f t="shared" si="0"/>
        <v>-8.2394999999996799</v>
      </c>
      <c r="I120" s="78"/>
      <c r="J120" s="79"/>
      <c r="K120" s="4"/>
      <c r="L120" s="4"/>
      <c r="M120" s="4"/>
      <c r="N120" s="4"/>
      <c r="O120" s="4"/>
      <c r="P120" s="4"/>
      <c r="Q120" s="4"/>
      <c r="R120" s="4"/>
      <c r="S120" s="4"/>
    </row>
    <row r="121" spans="1:19" s="1" customFormat="1" ht="12.6" customHeight="1">
      <c r="A121" s="11">
        <v>117</v>
      </c>
      <c r="B121" s="8" t="s">
        <v>2</v>
      </c>
      <c r="C121" s="9">
        <v>2</v>
      </c>
      <c r="D121" s="10">
        <v>33.404499999999999</v>
      </c>
      <c r="E121" s="10">
        <v>4070.1650000000004</v>
      </c>
      <c r="F121" s="10">
        <v>17924.834999999999</v>
      </c>
      <c r="G121" s="9">
        <v>17916</v>
      </c>
      <c r="H121" s="29">
        <f t="shared" si="0"/>
        <v>-8.8349999999991269</v>
      </c>
      <c r="I121" s="78"/>
      <c r="J121" s="79"/>
      <c r="K121" s="4"/>
      <c r="L121" s="4"/>
      <c r="M121" s="4"/>
      <c r="N121" s="4"/>
      <c r="O121" s="4"/>
      <c r="P121" s="4"/>
      <c r="Q121" s="4"/>
      <c r="R121" s="4"/>
      <c r="S121" s="4"/>
    </row>
    <row r="122" spans="1:19" s="1" customFormat="1" ht="12.6" customHeight="1">
      <c r="A122" s="11">
        <v>118</v>
      </c>
      <c r="B122" s="8" t="s">
        <v>2</v>
      </c>
      <c r="C122" s="9">
        <v>2</v>
      </c>
      <c r="D122" s="10">
        <v>33.564499999999995</v>
      </c>
      <c r="E122" s="10">
        <v>4103.7295000000004</v>
      </c>
      <c r="F122" s="10">
        <v>17891.270499999999</v>
      </c>
      <c r="G122" s="9">
        <v>17881</v>
      </c>
      <c r="H122" s="29">
        <f t="shared" si="0"/>
        <v>-10.270499999998719</v>
      </c>
      <c r="I122" s="78"/>
      <c r="J122" s="79"/>
      <c r="K122" s="4"/>
      <c r="L122" s="4"/>
      <c r="M122" s="4"/>
      <c r="N122" s="4"/>
      <c r="O122" s="4"/>
      <c r="P122" s="4"/>
      <c r="Q122" s="4"/>
      <c r="R122" s="4"/>
      <c r="S122" s="4"/>
    </row>
    <row r="123" spans="1:19" s="1" customFormat="1" ht="12.6" customHeight="1">
      <c r="A123" s="11">
        <v>119</v>
      </c>
      <c r="B123" s="8" t="s">
        <v>2</v>
      </c>
      <c r="C123" s="9">
        <v>2</v>
      </c>
      <c r="D123" s="10">
        <v>33.0745</v>
      </c>
      <c r="E123" s="10">
        <v>4136.8040000000001</v>
      </c>
      <c r="F123" s="10">
        <v>17858.196</v>
      </c>
      <c r="G123" s="9">
        <v>17849</v>
      </c>
      <c r="H123" s="29">
        <f t="shared" si="0"/>
        <v>-9.1959999999999127</v>
      </c>
      <c r="I123" s="78"/>
      <c r="J123" s="79"/>
      <c r="K123" s="4"/>
      <c r="L123" s="4"/>
      <c r="M123" s="4"/>
      <c r="N123" s="4"/>
      <c r="O123" s="4"/>
      <c r="P123" s="4"/>
      <c r="Q123" s="4"/>
      <c r="R123" s="4"/>
      <c r="S123" s="4"/>
    </row>
    <row r="124" spans="1:19" s="1" customFormat="1" ht="12.6" customHeight="1">
      <c r="A124" s="11">
        <v>120</v>
      </c>
      <c r="B124" s="8" t="s">
        <v>2</v>
      </c>
      <c r="C124" s="9">
        <v>2</v>
      </c>
      <c r="D124" s="10">
        <v>33.474500000000006</v>
      </c>
      <c r="E124" s="10">
        <v>4170.2785000000003</v>
      </c>
      <c r="F124" s="10">
        <v>17824.7215</v>
      </c>
      <c r="G124" s="9">
        <v>17814</v>
      </c>
      <c r="H124" s="29">
        <f t="shared" si="0"/>
        <v>-10.721499999999651</v>
      </c>
      <c r="I124" s="78"/>
      <c r="J124" s="79"/>
      <c r="K124" s="4"/>
      <c r="L124" s="4"/>
      <c r="M124" s="4"/>
      <c r="N124" s="4"/>
      <c r="O124" s="4"/>
      <c r="P124" s="4"/>
      <c r="Q124" s="4"/>
      <c r="R124" s="4"/>
      <c r="S124" s="4"/>
    </row>
    <row r="125" spans="1:19" s="1" customFormat="1" ht="12.6" customHeight="1">
      <c r="A125" s="11">
        <v>121</v>
      </c>
      <c r="B125" s="8" t="s">
        <v>2</v>
      </c>
      <c r="C125" s="9">
        <v>2</v>
      </c>
      <c r="D125" s="10">
        <v>33.564499999999995</v>
      </c>
      <c r="E125" s="10">
        <v>4203.8430000000008</v>
      </c>
      <c r="F125" s="10">
        <v>17791.156999999999</v>
      </c>
      <c r="G125" s="9">
        <v>17781</v>
      </c>
      <c r="H125" s="29">
        <f t="shared" si="0"/>
        <v>-10.156999999999243</v>
      </c>
      <c r="I125" s="78"/>
      <c r="J125" s="79"/>
      <c r="K125" s="4"/>
      <c r="L125" s="4"/>
      <c r="M125" s="4"/>
      <c r="N125" s="4"/>
      <c r="O125" s="4"/>
      <c r="P125" s="4"/>
      <c r="Q125" s="4"/>
      <c r="R125" s="4"/>
      <c r="S125" s="4"/>
    </row>
    <row r="126" spans="1:19" s="1" customFormat="1" ht="12.6" customHeight="1">
      <c r="A126" s="11">
        <v>122</v>
      </c>
      <c r="B126" s="8" t="s">
        <v>2</v>
      </c>
      <c r="C126" s="9">
        <v>2</v>
      </c>
      <c r="D126" s="10">
        <v>33.564499999999995</v>
      </c>
      <c r="E126" s="10">
        <v>4237.4075000000012</v>
      </c>
      <c r="F126" s="10">
        <v>17757.592499999999</v>
      </c>
      <c r="G126" s="9">
        <v>17749</v>
      </c>
      <c r="H126" s="29">
        <f t="shared" si="0"/>
        <v>-8.5924999999988358</v>
      </c>
      <c r="I126" s="78"/>
      <c r="J126" s="79"/>
      <c r="K126" s="4"/>
      <c r="L126" s="4"/>
      <c r="M126" s="4"/>
      <c r="N126" s="4"/>
      <c r="O126" s="4"/>
      <c r="P126" s="4"/>
      <c r="Q126" s="4"/>
      <c r="R126" s="4"/>
      <c r="S126" s="4"/>
    </row>
    <row r="127" spans="1:19" s="1" customFormat="1" ht="12.6" customHeight="1">
      <c r="A127" s="11">
        <v>123</v>
      </c>
      <c r="B127" s="8" t="s">
        <v>2</v>
      </c>
      <c r="C127" s="9">
        <v>2</v>
      </c>
      <c r="D127" s="10">
        <v>33.3245</v>
      </c>
      <c r="E127" s="10">
        <v>4270.7320000000009</v>
      </c>
      <c r="F127" s="10">
        <v>17724.268</v>
      </c>
      <c r="G127" s="9">
        <v>17714</v>
      </c>
      <c r="H127" s="29">
        <f t="shared" si="0"/>
        <v>-10.268000000000029</v>
      </c>
      <c r="I127" s="78"/>
      <c r="J127" s="79"/>
      <c r="K127" s="4"/>
      <c r="L127" s="4"/>
      <c r="M127" s="4"/>
      <c r="N127" s="4"/>
      <c r="O127" s="4"/>
      <c r="P127" s="4"/>
      <c r="Q127" s="4"/>
      <c r="R127" s="4"/>
      <c r="S127" s="4"/>
    </row>
    <row r="128" spans="1:19" s="1" customFormat="1" ht="12.6" customHeight="1">
      <c r="A128" s="11">
        <v>124</v>
      </c>
      <c r="B128" s="8" t="s">
        <v>2</v>
      </c>
      <c r="C128" s="9">
        <v>2</v>
      </c>
      <c r="D128" s="10">
        <v>33.534499999999994</v>
      </c>
      <c r="E128" s="10">
        <v>4304.2665000000006</v>
      </c>
      <c r="F128" s="10">
        <v>17690.733499999998</v>
      </c>
      <c r="G128" s="9">
        <v>17681</v>
      </c>
      <c r="H128" s="29">
        <f t="shared" si="0"/>
        <v>-9.7334999999984575</v>
      </c>
      <c r="I128" s="78"/>
      <c r="J128" s="79"/>
      <c r="K128" s="4"/>
      <c r="L128" s="4"/>
      <c r="M128" s="4"/>
      <c r="N128" s="4"/>
      <c r="O128" s="4"/>
      <c r="P128" s="4"/>
      <c r="Q128" s="4"/>
      <c r="R128" s="4"/>
      <c r="S128" s="4"/>
    </row>
    <row r="129" spans="1:19" s="1" customFormat="1" ht="12.6" customHeight="1">
      <c r="A129" s="11">
        <v>125</v>
      </c>
      <c r="B129" s="8" t="s">
        <v>2</v>
      </c>
      <c r="C129" s="9">
        <v>2</v>
      </c>
      <c r="D129" s="10">
        <v>33.534499999999994</v>
      </c>
      <c r="E129" s="10">
        <v>4337.8010000000004</v>
      </c>
      <c r="F129" s="10">
        <v>17657.199000000001</v>
      </c>
      <c r="G129" s="9">
        <v>17647</v>
      </c>
      <c r="H129" s="29">
        <f t="shared" si="0"/>
        <v>-10.199000000000524</v>
      </c>
      <c r="I129" s="78"/>
      <c r="J129" s="79"/>
      <c r="K129" s="4"/>
      <c r="L129" s="4"/>
      <c r="M129" s="4"/>
      <c r="N129" s="4"/>
      <c r="O129" s="4"/>
      <c r="P129" s="4"/>
      <c r="Q129" s="4"/>
      <c r="R129" s="4"/>
      <c r="S129" s="4"/>
    </row>
    <row r="130" spans="1:19" s="1" customFormat="1" ht="12.6" customHeight="1">
      <c r="A130" s="11">
        <v>126</v>
      </c>
      <c r="B130" s="8" t="s">
        <v>2</v>
      </c>
      <c r="C130" s="9">
        <v>2</v>
      </c>
      <c r="D130" s="10">
        <v>33.364500000000007</v>
      </c>
      <c r="E130" s="10">
        <v>4371.1655000000001</v>
      </c>
      <c r="F130" s="10">
        <v>17623.834500000001</v>
      </c>
      <c r="G130" s="9">
        <v>17611</v>
      </c>
      <c r="H130" s="29">
        <f t="shared" si="0"/>
        <v>-12.834500000000844</v>
      </c>
      <c r="I130" s="78"/>
      <c r="J130" s="79"/>
      <c r="K130" s="4"/>
      <c r="L130" s="4"/>
      <c r="M130" s="4"/>
      <c r="N130" s="4"/>
      <c r="O130" s="4"/>
      <c r="P130" s="4"/>
      <c r="Q130" s="4"/>
      <c r="R130" s="4"/>
      <c r="S130" s="4"/>
    </row>
    <row r="131" spans="1:19" s="1" customFormat="1" ht="12.6" customHeight="1">
      <c r="A131" s="11">
        <v>127</v>
      </c>
      <c r="B131" s="8" t="s">
        <v>2</v>
      </c>
      <c r="C131" s="9">
        <v>2</v>
      </c>
      <c r="D131" s="10">
        <v>33.554500000000004</v>
      </c>
      <c r="E131" s="10">
        <v>4404.72</v>
      </c>
      <c r="F131" s="10">
        <v>17590.28</v>
      </c>
      <c r="G131" s="9">
        <v>17580</v>
      </c>
      <c r="H131" s="29">
        <f t="shared" si="0"/>
        <v>-10.279999999998836</v>
      </c>
      <c r="I131" s="78"/>
      <c r="J131" s="79"/>
      <c r="K131" s="4"/>
      <c r="L131" s="4"/>
      <c r="M131" s="4"/>
      <c r="N131" s="4"/>
      <c r="O131" s="4"/>
      <c r="P131" s="4"/>
      <c r="Q131" s="4"/>
      <c r="R131" s="4"/>
      <c r="S131" s="4"/>
    </row>
    <row r="132" spans="1:19" s="1" customFormat="1" ht="12.6" customHeight="1">
      <c r="A132" s="11">
        <v>128</v>
      </c>
      <c r="B132" s="8" t="s">
        <v>2</v>
      </c>
      <c r="C132" s="9">
        <v>2</v>
      </c>
      <c r="D132" s="10">
        <v>33.274500000000003</v>
      </c>
      <c r="E132" s="10">
        <v>4437.9945000000007</v>
      </c>
      <c r="F132" s="10">
        <v>17557.005499999999</v>
      </c>
      <c r="G132" s="9">
        <v>17545</v>
      </c>
      <c r="H132" s="29">
        <f t="shared" si="0"/>
        <v>-12.005499999999302</v>
      </c>
      <c r="I132" s="78"/>
      <c r="J132" s="79"/>
      <c r="K132" s="4"/>
      <c r="L132" s="4"/>
      <c r="M132" s="4"/>
      <c r="N132" s="4"/>
      <c r="O132" s="4"/>
      <c r="P132" s="4"/>
      <c r="Q132" s="4"/>
      <c r="R132" s="4"/>
      <c r="S132" s="4"/>
    </row>
    <row r="133" spans="1:19" s="1" customFormat="1" ht="12.6" customHeight="1">
      <c r="A133" s="11">
        <v>129</v>
      </c>
      <c r="B133" s="8" t="s">
        <v>2</v>
      </c>
      <c r="C133" s="9">
        <v>2</v>
      </c>
      <c r="D133" s="10">
        <v>33.554500000000004</v>
      </c>
      <c r="E133" s="10">
        <v>4471.5490000000009</v>
      </c>
      <c r="F133" s="10">
        <v>17523.451000000001</v>
      </c>
      <c r="G133" s="9">
        <v>17511</v>
      </c>
      <c r="H133" s="29">
        <f t="shared" si="0"/>
        <v>-12.451000000000931</v>
      </c>
      <c r="I133" s="78"/>
      <c r="J133" s="79"/>
      <c r="K133" s="4"/>
      <c r="L133" s="4"/>
      <c r="M133" s="4"/>
      <c r="N133" s="4"/>
      <c r="O133" s="4"/>
      <c r="P133" s="4"/>
      <c r="Q133" s="4"/>
      <c r="R133" s="4"/>
      <c r="S133" s="4"/>
    </row>
    <row r="134" spans="1:19" s="1" customFormat="1" ht="12.6" customHeight="1">
      <c r="A134" s="11">
        <v>130</v>
      </c>
      <c r="B134" s="8" t="s">
        <v>2</v>
      </c>
      <c r="C134" s="9">
        <v>2</v>
      </c>
      <c r="D134" s="10">
        <v>33.554500000000004</v>
      </c>
      <c r="E134" s="10">
        <v>4505.1035000000011</v>
      </c>
      <c r="F134" s="10">
        <v>17489.896499999999</v>
      </c>
      <c r="G134" s="9">
        <v>17479</v>
      </c>
      <c r="H134" s="29">
        <f t="shared" si="0"/>
        <v>-10.896499999998923</v>
      </c>
      <c r="I134" s="78"/>
      <c r="J134" s="79"/>
      <c r="K134" s="4"/>
      <c r="L134" s="4"/>
      <c r="M134" s="4"/>
      <c r="N134" s="4"/>
      <c r="O134" s="4"/>
      <c r="P134" s="4"/>
      <c r="Q134" s="4"/>
      <c r="R134" s="4"/>
      <c r="S134" s="4"/>
    </row>
    <row r="135" spans="1:19" s="1" customFormat="1" ht="12.6" customHeight="1">
      <c r="A135" s="11">
        <v>131</v>
      </c>
      <c r="B135" s="8" t="s">
        <v>2</v>
      </c>
      <c r="C135" s="9">
        <v>2</v>
      </c>
      <c r="D135" s="10">
        <v>32.264499999999998</v>
      </c>
      <c r="E135" s="10">
        <v>4537.3680000000013</v>
      </c>
      <c r="F135" s="10">
        <v>17457.631999999998</v>
      </c>
      <c r="G135" s="9">
        <v>17445</v>
      </c>
      <c r="H135" s="29">
        <f t="shared" si="0"/>
        <v>-12.631999999997788</v>
      </c>
      <c r="I135" s="78"/>
      <c r="J135" s="79"/>
      <c r="K135" s="4"/>
      <c r="L135" s="4"/>
      <c r="M135" s="4"/>
      <c r="N135" s="4"/>
      <c r="O135" s="4"/>
      <c r="P135" s="4"/>
      <c r="Q135" s="4"/>
      <c r="R135" s="4"/>
      <c r="S135" s="4"/>
    </row>
    <row r="136" spans="1:19" s="1" customFormat="1" ht="12.6" customHeight="1">
      <c r="A136" s="11">
        <v>132</v>
      </c>
      <c r="B136" s="8" t="s">
        <v>2</v>
      </c>
      <c r="C136" s="9">
        <v>2</v>
      </c>
      <c r="D136" s="10">
        <v>33.564499999999995</v>
      </c>
      <c r="E136" s="10">
        <v>4570.9325000000017</v>
      </c>
      <c r="F136" s="10">
        <v>17424.067499999997</v>
      </c>
      <c r="G136" s="9">
        <v>17412</v>
      </c>
      <c r="H136" s="29">
        <f t="shared" si="0"/>
        <v>-12.067499999997381</v>
      </c>
      <c r="I136" s="78"/>
      <c r="J136" s="79"/>
      <c r="K136" s="4"/>
      <c r="L136" s="4"/>
      <c r="M136" s="4"/>
      <c r="N136" s="4"/>
      <c r="O136" s="4"/>
      <c r="P136" s="4"/>
      <c r="Q136" s="4"/>
      <c r="R136" s="4"/>
      <c r="S136" s="4"/>
    </row>
    <row r="137" spans="1:19" s="1" customFormat="1" ht="12.6" customHeight="1">
      <c r="A137" s="11">
        <v>133</v>
      </c>
      <c r="B137" s="8" t="s">
        <v>2</v>
      </c>
      <c r="C137" s="9">
        <v>2</v>
      </c>
      <c r="D137" s="10">
        <v>33.264499999999998</v>
      </c>
      <c r="E137" s="10">
        <v>4604.1970000000019</v>
      </c>
      <c r="F137" s="10">
        <v>17390.803</v>
      </c>
      <c r="G137" s="9">
        <v>17381</v>
      </c>
      <c r="H137" s="29">
        <f t="shared" si="0"/>
        <v>-9.8029999999998836</v>
      </c>
      <c r="I137" s="78"/>
      <c r="J137" s="79"/>
      <c r="K137" s="4"/>
      <c r="L137" s="4"/>
      <c r="M137" s="4"/>
      <c r="N137" s="4"/>
      <c r="O137" s="4"/>
      <c r="P137" s="4"/>
      <c r="Q137" s="4"/>
      <c r="R137" s="4"/>
      <c r="S137" s="4"/>
    </row>
    <row r="138" spans="1:19" s="1" customFormat="1" ht="12.6" customHeight="1">
      <c r="A138" s="11">
        <v>134</v>
      </c>
      <c r="B138" s="8" t="s">
        <v>2</v>
      </c>
      <c r="C138" s="9">
        <v>2</v>
      </c>
      <c r="D138" s="10">
        <v>32.914500000000004</v>
      </c>
      <c r="E138" s="10">
        <v>4637.1115000000018</v>
      </c>
      <c r="F138" s="10">
        <v>17357.888499999997</v>
      </c>
      <c r="G138" s="9">
        <v>17345</v>
      </c>
      <c r="H138" s="29">
        <f t="shared" si="0"/>
        <v>-12.888499999997293</v>
      </c>
      <c r="I138" s="78" t="s">
        <v>24</v>
      </c>
      <c r="J138" s="79"/>
      <c r="K138" s="4"/>
      <c r="L138" s="4"/>
      <c r="M138" s="4"/>
      <c r="N138" s="4"/>
      <c r="O138" s="4"/>
      <c r="P138" s="4"/>
      <c r="Q138" s="4"/>
      <c r="R138" s="4"/>
      <c r="S138" s="4"/>
    </row>
    <row r="139" spans="1:19" s="1" customFormat="1" ht="12.6" customHeight="1">
      <c r="A139" s="11">
        <v>135</v>
      </c>
      <c r="B139" s="8" t="s">
        <v>2</v>
      </c>
      <c r="C139" s="9">
        <v>2</v>
      </c>
      <c r="D139" s="10">
        <v>33.564499999999995</v>
      </c>
      <c r="E139" s="10">
        <v>4670.6760000000022</v>
      </c>
      <c r="F139" s="10">
        <v>17324.323999999997</v>
      </c>
      <c r="G139" s="9">
        <v>17312</v>
      </c>
      <c r="H139" s="29">
        <f t="shared" si="0"/>
        <v>-12.323999999996886</v>
      </c>
      <c r="I139" s="21"/>
      <c r="J139" s="22"/>
      <c r="K139" s="4"/>
      <c r="L139" s="4"/>
      <c r="M139" s="4"/>
      <c r="N139" s="4"/>
      <c r="O139" s="4"/>
      <c r="P139" s="4"/>
      <c r="Q139" s="4"/>
      <c r="R139" s="4"/>
      <c r="S139" s="4"/>
    </row>
    <row r="140" spans="1:19" s="1" customFormat="1" ht="12.6" customHeight="1">
      <c r="A140" s="11">
        <v>136</v>
      </c>
      <c r="B140" s="8" t="s">
        <v>2</v>
      </c>
      <c r="C140" s="9">
        <v>2</v>
      </c>
      <c r="D140" s="10">
        <v>33.204499999999996</v>
      </c>
      <c r="E140" s="10">
        <v>4703.880500000002</v>
      </c>
      <c r="F140" s="10">
        <v>17291.119499999997</v>
      </c>
      <c r="G140" s="9">
        <v>17278</v>
      </c>
      <c r="H140" s="29">
        <f t="shared" si="0"/>
        <v>-13.119499999997061</v>
      </c>
      <c r="I140" s="78"/>
      <c r="J140" s="79"/>
      <c r="K140" s="4"/>
      <c r="L140" s="4"/>
      <c r="M140" s="4"/>
      <c r="N140" s="4"/>
      <c r="O140" s="4"/>
      <c r="P140" s="4"/>
      <c r="Q140" s="4"/>
      <c r="R140" s="4"/>
      <c r="S140" s="4"/>
    </row>
    <row r="141" spans="1:19" s="1" customFormat="1" ht="12.6" customHeight="1">
      <c r="A141" s="11">
        <v>137</v>
      </c>
      <c r="B141" s="8" t="s">
        <v>2</v>
      </c>
      <c r="C141" s="9">
        <v>2</v>
      </c>
      <c r="D141" s="10">
        <v>33.264499999999998</v>
      </c>
      <c r="E141" s="10">
        <v>4737.1450000000023</v>
      </c>
      <c r="F141" s="10">
        <v>17257.854999999996</v>
      </c>
      <c r="G141" s="9">
        <v>17245</v>
      </c>
      <c r="H141" s="29">
        <f t="shared" si="0"/>
        <v>-12.854999999995925</v>
      </c>
      <c r="I141" s="78"/>
      <c r="J141" s="79"/>
      <c r="K141" s="4"/>
      <c r="L141" s="4"/>
      <c r="M141" s="4"/>
      <c r="N141" s="4"/>
      <c r="O141" s="4"/>
      <c r="P141" s="4"/>
      <c r="Q141" s="4"/>
      <c r="R141" s="4"/>
      <c r="S141" s="4"/>
    </row>
    <row r="142" spans="1:19" s="1" customFormat="1" ht="12.6" customHeight="1">
      <c r="A142" s="11">
        <v>138</v>
      </c>
      <c r="B142" s="8" t="s">
        <v>2</v>
      </c>
      <c r="C142" s="9">
        <v>2</v>
      </c>
      <c r="D142" s="10">
        <v>33.264499999999998</v>
      </c>
      <c r="E142" s="10">
        <v>4770.4095000000025</v>
      </c>
      <c r="F142" s="10">
        <v>17224.590499999998</v>
      </c>
      <c r="G142" s="9">
        <v>17213</v>
      </c>
      <c r="H142" s="29">
        <f t="shared" si="0"/>
        <v>-11.590499999998428</v>
      </c>
      <c r="I142" s="78"/>
      <c r="J142" s="79"/>
      <c r="K142" s="4"/>
      <c r="L142" s="4"/>
      <c r="M142" s="4"/>
      <c r="N142" s="4"/>
      <c r="O142" s="4"/>
      <c r="P142" s="4"/>
      <c r="Q142" s="4"/>
      <c r="R142" s="4"/>
      <c r="S142" s="4"/>
    </row>
    <row r="143" spans="1:19" s="1" customFormat="1" ht="12.6" customHeight="1">
      <c r="A143" s="11">
        <v>139</v>
      </c>
      <c r="B143" s="8" t="s">
        <v>2</v>
      </c>
      <c r="C143" s="9">
        <v>2</v>
      </c>
      <c r="D143" s="10">
        <v>31.984500000000001</v>
      </c>
      <c r="E143" s="10">
        <v>4802.3940000000021</v>
      </c>
      <c r="F143" s="10">
        <v>17192.606</v>
      </c>
      <c r="G143" s="9">
        <v>17180</v>
      </c>
      <c r="H143" s="29">
        <f t="shared" si="0"/>
        <v>-12.605999999999767</v>
      </c>
      <c r="I143" s="80"/>
      <c r="J143" s="81"/>
      <c r="K143" s="4"/>
      <c r="L143" s="4"/>
      <c r="M143" s="4"/>
      <c r="N143" s="4"/>
      <c r="O143" s="4"/>
      <c r="P143" s="4"/>
      <c r="Q143" s="4"/>
      <c r="R143" s="4"/>
      <c r="S143" s="4"/>
    </row>
    <row r="144" spans="1:19" s="1" customFormat="1" ht="14.45" customHeight="1">
      <c r="A144" s="50">
        <v>140</v>
      </c>
      <c r="B144" s="51" t="s">
        <v>2</v>
      </c>
      <c r="C144" s="41">
        <v>1</v>
      </c>
      <c r="D144" s="52">
        <v>33.534499999999994</v>
      </c>
      <c r="E144" s="52">
        <v>4835.9285000000018</v>
      </c>
      <c r="F144" s="52">
        <v>17159.071499999998</v>
      </c>
      <c r="G144" s="38">
        <v>17146</v>
      </c>
      <c r="H144" s="29">
        <f t="shared" si="0"/>
        <v>-13.071499999998196</v>
      </c>
      <c r="I144" s="74" t="s">
        <v>16</v>
      </c>
      <c r="J144" s="75"/>
      <c r="K144" s="4"/>
      <c r="L144" s="4"/>
      <c r="M144" s="4"/>
      <c r="N144" s="4"/>
      <c r="O144" s="4"/>
      <c r="P144" s="4"/>
      <c r="Q144" s="4"/>
      <c r="R144" s="4"/>
      <c r="S144" s="4"/>
    </row>
    <row r="145" spans="1:19" s="1" customFormat="1" ht="14.45" customHeight="1">
      <c r="A145" s="24">
        <v>141</v>
      </c>
      <c r="B145" s="8" t="s">
        <v>2</v>
      </c>
      <c r="C145" s="9">
        <v>2</v>
      </c>
      <c r="D145" s="10">
        <v>33.524500000000003</v>
      </c>
      <c r="E145" s="10">
        <v>4869.4530000000022</v>
      </c>
      <c r="F145" s="10">
        <v>17125.546999999999</v>
      </c>
      <c r="G145" s="9">
        <v>17111</v>
      </c>
      <c r="H145" s="29">
        <f t="shared" si="0"/>
        <v>-14.546999999998661</v>
      </c>
      <c r="I145" s="72" t="s">
        <v>39</v>
      </c>
      <c r="J145" s="73"/>
      <c r="K145" s="4"/>
      <c r="L145" s="4"/>
      <c r="M145" s="4"/>
      <c r="N145" s="4"/>
      <c r="O145" s="4"/>
      <c r="P145" s="4"/>
      <c r="Q145" s="4"/>
      <c r="R145" s="4"/>
      <c r="S145" s="4"/>
    </row>
    <row r="146" spans="1:19" s="1" customFormat="1" ht="14.45" customHeight="1">
      <c r="A146" s="84" t="s">
        <v>36</v>
      </c>
      <c r="B146" s="85"/>
      <c r="C146" s="54">
        <v>1</v>
      </c>
      <c r="D146" s="55">
        <v>9.8145000000000007</v>
      </c>
      <c r="E146" s="55">
        <v>4879.2675000000027</v>
      </c>
      <c r="F146" s="55">
        <v>17115.732499999998</v>
      </c>
      <c r="G146" s="35">
        <v>17102</v>
      </c>
      <c r="H146" s="29">
        <f t="shared" si="0"/>
        <v>-13.732499999998254</v>
      </c>
      <c r="I146" s="72"/>
      <c r="J146" s="73"/>
      <c r="K146" s="4"/>
      <c r="L146" s="4"/>
      <c r="M146" s="4"/>
      <c r="N146" s="4"/>
      <c r="O146" s="4"/>
      <c r="P146" s="4"/>
      <c r="Q146" s="4"/>
      <c r="R146" s="4"/>
      <c r="S146" s="4"/>
    </row>
    <row r="147" spans="1:19" s="1" customFormat="1" ht="14.45" customHeight="1">
      <c r="A147" s="11">
        <v>142</v>
      </c>
      <c r="B147" s="8" t="s">
        <v>2</v>
      </c>
      <c r="C147" s="9">
        <v>2</v>
      </c>
      <c r="D147" s="10">
        <v>33.534499999999994</v>
      </c>
      <c r="E147" s="10">
        <v>4912.8020000000024</v>
      </c>
      <c r="F147" s="10">
        <v>17082.197999999997</v>
      </c>
      <c r="G147" s="9">
        <v>17070</v>
      </c>
      <c r="H147" s="29">
        <f t="shared" si="0"/>
        <v>-12.197999999996682</v>
      </c>
      <c r="I147" s="72"/>
      <c r="J147" s="73"/>
      <c r="K147" s="4"/>
      <c r="L147" s="4"/>
      <c r="M147" s="4"/>
      <c r="N147" s="4"/>
      <c r="O147" s="4"/>
      <c r="P147" s="4"/>
      <c r="Q147" s="4"/>
      <c r="R147" s="4"/>
      <c r="S147" s="4"/>
    </row>
    <row r="148" spans="1:19" s="1" customFormat="1" ht="12.6" customHeight="1">
      <c r="A148" s="11">
        <v>143</v>
      </c>
      <c r="B148" s="8" t="s">
        <v>2</v>
      </c>
      <c r="C148" s="9">
        <v>2</v>
      </c>
      <c r="D148" s="10">
        <v>33.354500000000002</v>
      </c>
      <c r="E148" s="10">
        <v>4946.1565000000028</v>
      </c>
      <c r="F148" s="10">
        <v>17048.843499999995</v>
      </c>
      <c r="G148" s="9">
        <v>17034</v>
      </c>
      <c r="H148" s="29">
        <f t="shared" si="0"/>
        <v>-14.843499999995402</v>
      </c>
      <c r="I148" s="82"/>
      <c r="J148" s="83"/>
      <c r="K148" s="4"/>
      <c r="L148" s="4"/>
      <c r="M148" s="4"/>
      <c r="N148" s="4"/>
      <c r="O148" s="4"/>
      <c r="P148" s="4"/>
      <c r="Q148" s="4"/>
      <c r="R148" s="4"/>
      <c r="S148" s="4"/>
    </row>
    <row r="149" spans="1:19" s="1" customFormat="1" ht="12.6" customHeight="1">
      <c r="A149" s="11">
        <v>144</v>
      </c>
      <c r="B149" s="8" t="s">
        <v>2</v>
      </c>
      <c r="C149" s="9">
        <v>2</v>
      </c>
      <c r="D149" s="10">
        <v>33.254499999999993</v>
      </c>
      <c r="E149" s="10">
        <v>4979.4110000000028</v>
      </c>
      <c r="F149" s="10">
        <v>17015.588999999996</v>
      </c>
      <c r="G149" s="9">
        <v>17002</v>
      </c>
      <c r="H149" s="29">
        <f t="shared" si="0"/>
        <v>-13.588999999996304</v>
      </c>
      <c r="I149" s="78"/>
      <c r="J149" s="79"/>
      <c r="K149" s="4"/>
      <c r="L149" s="4"/>
      <c r="M149" s="4"/>
      <c r="N149" s="4"/>
      <c r="O149" s="4"/>
      <c r="P149" s="4"/>
      <c r="Q149" s="4"/>
      <c r="R149" s="4"/>
      <c r="S149" s="4"/>
    </row>
    <row r="150" spans="1:19" s="1" customFormat="1" ht="12.6" customHeight="1">
      <c r="A150" s="11">
        <v>145</v>
      </c>
      <c r="B150" s="8" t="s">
        <v>2</v>
      </c>
      <c r="C150" s="9">
        <v>2</v>
      </c>
      <c r="D150" s="10">
        <v>33.534499999999994</v>
      </c>
      <c r="E150" s="10">
        <v>5012.9455000000025</v>
      </c>
      <c r="F150" s="10">
        <v>16982.054499999998</v>
      </c>
      <c r="G150" s="9">
        <v>16967</v>
      </c>
      <c r="H150" s="29">
        <f t="shared" ref="H150:H180" si="1">G150-F150</f>
        <v>-15.05449999999837</v>
      </c>
      <c r="I150" s="78"/>
      <c r="J150" s="79"/>
      <c r="K150" s="4"/>
      <c r="L150" s="4"/>
      <c r="M150" s="4"/>
      <c r="N150" s="4"/>
      <c r="O150" s="4"/>
      <c r="P150" s="4"/>
      <c r="Q150" s="4"/>
      <c r="R150" s="4"/>
      <c r="S150" s="4"/>
    </row>
    <row r="151" spans="1:19" s="1" customFormat="1" ht="12.6" customHeight="1">
      <c r="A151" s="11">
        <v>146</v>
      </c>
      <c r="B151" s="8" t="s">
        <v>2</v>
      </c>
      <c r="C151" s="9">
        <v>2</v>
      </c>
      <c r="D151" s="10">
        <v>33.164500000000004</v>
      </c>
      <c r="E151" s="10">
        <v>5046.1100000000024</v>
      </c>
      <c r="F151" s="10">
        <v>16948.89</v>
      </c>
      <c r="G151" s="9">
        <v>16934</v>
      </c>
      <c r="H151" s="29">
        <f t="shared" si="1"/>
        <v>-14.889999999999418</v>
      </c>
      <c r="I151" s="78"/>
      <c r="J151" s="79"/>
      <c r="K151" s="4"/>
      <c r="L151" s="4"/>
      <c r="M151" s="4"/>
      <c r="N151" s="4"/>
      <c r="O151" s="4"/>
      <c r="P151" s="4"/>
      <c r="Q151" s="4"/>
      <c r="R151" s="4"/>
      <c r="S151" s="4"/>
    </row>
    <row r="152" spans="1:19" s="1" customFormat="1" ht="12.6" customHeight="1">
      <c r="A152" s="11">
        <v>147</v>
      </c>
      <c r="B152" s="8" t="s">
        <v>2</v>
      </c>
      <c r="C152" s="9">
        <v>2</v>
      </c>
      <c r="D152" s="10">
        <v>33.404499999999999</v>
      </c>
      <c r="E152" s="10">
        <v>5079.514500000002</v>
      </c>
      <c r="F152" s="10">
        <v>16915.485499999999</v>
      </c>
      <c r="G152" s="9">
        <v>16901</v>
      </c>
      <c r="H152" s="29">
        <f t="shared" si="1"/>
        <v>-14.485499999998865</v>
      </c>
      <c r="I152" s="78"/>
      <c r="J152" s="79"/>
      <c r="K152" s="4"/>
      <c r="L152" s="4"/>
      <c r="M152" s="4"/>
      <c r="N152" s="4"/>
      <c r="O152" s="4"/>
      <c r="P152" s="4"/>
      <c r="Q152" s="4"/>
      <c r="R152" s="4"/>
      <c r="S152" s="4"/>
    </row>
    <row r="153" spans="1:19" s="1" customFormat="1" ht="12.6" customHeight="1">
      <c r="A153" s="11">
        <v>148</v>
      </c>
      <c r="B153" s="8" t="s">
        <v>2</v>
      </c>
      <c r="C153" s="9">
        <v>2</v>
      </c>
      <c r="D153" s="10">
        <v>32.114500000000007</v>
      </c>
      <c r="E153" s="10">
        <v>5111.6290000000017</v>
      </c>
      <c r="F153" s="10">
        <v>16883.370999999999</v>
      </c>
      <c r="G153" s="9">
        <v>16869</v>
      </c>
      <c r="H153" s="29">
        <f t="shared" si="1"/>
        <v>-14.370999999999185</v>
      </c>
      <c r="I153" s="78"/>
      <c r="J153" s="79"/>
      <c r="K153" s="4"/>
      <c r="L153" s="4"/>
      <c r="M153" s="4"/>
      <c r="N153" s="4"/>
      <c r="O153" s="4"/>
      <c r="P153" s="4"/>
      <c r="Q153" s="4"/>
      <c r="R153" s="4"/>
      <c r="S153" s="4"/>
    </row>
    <row r="154" spans="1:19" s="1" customFormat="1" ht="12.6" customHeight="1">
      <c r="A154" s="11">
        <v>149</v>
      </c>
      <c r="B154" s="8" t="s">
        <v>2</v>
      </c>
      <c r="C154" s="9">
        <v>2</v>
      </c>
      <c r="D154" s="10">
        <v>33.534499999999994</v>
      </c>
      <c r="E154" s="10">
        <v>5145.1635000000015</v>
      </c>
      <c r="F154" s="10">
        <v>16849.836499999998</v>
      </c>
      <c r="G154" s="9">
        <v>16835</v>
      </c>
      <c r="H154" s="29">
        <f t="shared" si="1"/>
        <v>-14.836499999997613</v>
      </c>
      <c r="I154" s="78"/>
      <c r="J154" s="79"/>
      <c r="K154" s="4"/>
      <c r="L154" s="4"/>
      <c r="M154" s="4"/>
      <c r="N154" s="4"/>
      <c r="O154" s="4"/>
      <c r="P154" s="4"/>
      <c r="Q154" s="4"/>
      <c r="R154" s="4"/>
      <c r="S154" s="4"/>
    </row>
    <row r="155" spans="1:19" s="1" customFormat="1" ht="12.6" customHeight="1">
      <c r="A155" s="11">
        <v>150</v>
      </c>
      <c r="B155" s="8" t="s">
        <v>2</v>
      </c>
      <c r="C155" s="9">
        <v>2</v>
      </c>
      <c r="D155" s="10">
        <v>33.534499999999994</v>
      </c>
      <c r="E155" s="10">
        <v>5178.6980000000012</v>
      </c>
      <c r="F155" s="10">
        <v>16816.302</v>
      </c>
      <c r="G155" s="9">
        <v>16801</v>
      </c>
      <c r="H155" s="29">
        <f t="shared" si="1"/>
        <v>-15.30199999999968</v>
      </c>
      <c r="I155" s="78" t="s">
        <v>46</v>
      </c>
      <c r="J155" s="79"/>
      <c r="K155" s="4"/>
      <c r="L155" s="4"/>
      <c r="M155" s="4"/>
      <c r="N155" s="4"/>
      <c r="O155" s="4"/>
      <c r="P155" s="4"/>
      <c r="Q155" s="4"/>
      <c r="R155" s="4"/>
      <c r="S155" s="4"/>
    </row>
    <row r="156" spans="1:19" s="1" customFormat="1" ht="12.6" customHeight="1">
      <c r="A156" s="11">
        <v>151</v>
      </c>
      <c r="B156" s="8" t="s">
        <v>2</v>
      </c>
      <c r="C156" s="9">
        <v>2</v>
      </c>
      <c r="D156" s="10">
        <v>33.374499999999998</v>
      </c>
      <c r="E156" s="10">
        <v>5212.0725000000011</v>
      </c>
      <c r="F156" s="10">
        <v>16782.927499999998</v>
      </c>
      <c r="G156" s="9">
        <v>16780</v>
      </c>
      <c r="H156" s="29">
        <f t="shared" si="1"/>
        <v>-2.9274999999979627</v>
      </c>
      <c r="I156" s="78"/>
      <c r="J156" s="79"/>
      <c r="K156" s="4"/>
      <c r="L156" s="4"/>
      <c r="M156" s="4"/>
      <c r="N156" s="4"/>
      <c r="O156" s="4"/>
      <c r="P156" s="4"/>
      <c r="Q156" s="4"/>
      <c r="R156" s="4"/>
      <c r="S156" s="4"/>
    </row>
    <row r="157" spans="1:19" s="1" customFormat="1" ht="12.6" customHeight="1">
      <c r="A157" s="11">
        <v>152</v>
      </c>
      <c r="B157" s="8" t="s">
        <v>2</v>
      </c>
      <c r="C157" s="9">
        <v>2</v>
      </c>
      <c r="D157" s="10">
        <v>33.304500000000004</v>
      </c>
      <c r="E157" s="10">
        <v>5245.3770000000013</v>
      </c>
      <c r="F157" s="10">
        <v>16749.623</v>
      </c>
      <c r="G157" s="9">
        <v>16749</v>
      </c>
      <c r="H157" s="29">
        <f t="shared" si="1"/>
        <v>-0.62299999999959255</v>
      </c>
      <c r="I157" s="78"/>
      <c r="J157" s="79"/>
      <c r="K157" s="4"/>
      <c r="L157" s="4"/>
      <c r="M157" s="4"/>
      <c r="N157" s="4"/>
      <c r="O157" s="4"/>
      <c r="P157" s="4"/>
      <c r="Q157" s="4"/>
      <c r="R157" s="4"/>
      <c r="S157" s="4"/>
    </row>
    <row r="158" spans="1:19" s="1" customFormat="1" ht="12.6" customHeight="1">
      <c r="A158" s="11">
        <v>153</v>
      </c>
      <c r="B158" s="8" t="s">
        <v>2</v>
      </c>
      <c r="C158" s="9">
        <v>2</v>
      </c>
      <c r="D158" s="10">
        <v>33.294499999999999</v>
      </c>
      <c r="E158" s="10">
        <v>5278.6715000000013</v>
      </c>
      <c r="F158" s="10">
        <v>16716.3285</v>
      </c>
      <c r="G158" s="9">
        <v>16716</v>
      </c>
      <c r="H158" s="29">
        <f t="shared" si="1"/>
        <v>-0.32849999999962165</v>
      </c>
      <c r="I158" s="78"/>
      <c r="J158" s="79"/>
      <c r="K158" s="4"/>
      <c r="L158" s="4"/>
      <c r="M158" s="4"/>
      <c r="N158" s="4"/>
      <c r="O158" s="4"/>
      <c r="P158" s="4"/>
      <c r="Q158" s="4"/>
      <c r="R158" s="4"/>
      <c r="S158" s="4"/>
    </row>
    <row r="159" spans="1:19" s="1" customFormat="1" ht="12.6" customHeight="1">
      <c r="A159" s="11">
        <v>154</v>
      </c>
      <c r="B159" s="8" t="s">
        <v>2</v>
      </c>
      <c r="C159" s="9">
        <v>2</v>
      </c>
      <c r="D159" s="10">
        <v>33.534499999999994</v>
      </c>
      <c r="E159" s="10">
        <v>5312.206000000001</v>
      </c>
      <c r="F159" s="10">
        <v>16682.793999999998</v>
      </c>
      <c r="G159" s="9">
        <v>16682</v>
      </c>
      <c r="H159" s="29">
        <f t="shared" si="1"/>
        <v>-0.79399999999805004</v>
      </c>
      <c r="I159" s="78"/>
      <c r="J159" s="79"/>
      <c r="K159" s="4"/>
      <c r="L159" s="4"/>
      <c r="M159" s="4"/>
      <c r="N159" s="4"/>
      <c r="O159" s="4"/>
      <c r="P159" s="4"/>
      <c r="Q159" s="4"/>
      <c r="R159" s="4"/>
      <c r="S159" s="4"/>
    </row>
    <row r="160" spans="1:19" s="1" customFormat="1" ht="12.6" customHeight="1">
      <c r="A160" s="11">
        <v>155</v>
      </c>
      <c r="B160" s="8" t="s">
        <v>2</v>
      </c>
      <c r="C160" s="9">
        <v>2</v>
      </c>
      <c r="D160" s="10">
        <v>32.994500000000002</v>
      </c>
      <c r="E160" s="10">
        <v>5345.2005000000008</v>
      </c>
      <c r="F160" s="10">
        <v>16649.799500000001</v>
      </c>
      <c r="G160" s="9">
        <v>16650</v>
      </c>
      <c r="H160" s="29">
        <f t="shared" si="1"/>
        <v>0.20049999999901047</v>
      </c>
      <c r="I160" s="78"/>
      <c r="J160" s="79"/>
      <c r="K160" s="4"/>
      <c r="L160" s="4"/>
      <c r="M160" s="4"/>
      <c r="N160" s="4"/>
      <c r="O160" s="4"/>
      <c r="P160" s="4"/>
      <c r="Q160" s="4"/>
      <c r="R160" s="4"/>
      <c r="S160" s="4"/>
    </row>
    <row r="161" spans="1:19" s="1" customFormat="1" ht="12.6" customHeight="1">
      <c r="A161" s="11">
        <v>156</v>
      </c>
      <c r="B161" s="8" t="s">
        <v>2</v>
      </c>
      <c r="C161" s="9">
        <v>2</v>
      </c>
      <c r="D161" s="10">
        <v>33.314499999999995</v>
      </c>
      <c r="E161" s="10">
        <v>5378.5150000000012</v>
      </c>
      <c r="F161" s="10">
        <v>16616.485000000001</v>
      </c>
      <c r="G161" s="9">
        <v>16616</v>
      </c>
      <c r="H161" s="29">
        <f t="shared" si="1"/>
        <v>-0.48500000000058208</v>
      </c>
      <c r="I161" s="78"/>
      <c r="J161" s="79"/>
      <c r="K161" s="4"/>
      <c r="L161" s="4"/>
      <c r="M161" s="4"/>
      <c r="N161" s="4"/>
      <c r="O161" s="4"/>
      <c r="P161" s="4"/>
      <c r="Q161" s="4"/>
      <c r="R161" s="4"/>
      <c r="S161" s="4"/>
    </row>
    <row r="162" spans="1:19" s="1" customFormat="1" ht="12.6" customHeight="1">
      <c r="A162" s="11">
        <v>157</v>
      </c>
      <c r="B162" s="8" t="s">
        <v>2</v>
      </c>
      <c r="C162" s="9">
        <v>2</v>
      </c>
      <c r="D162" s="10">
        <v>33.534499999999994</v>
      </c>
      <c r="E162" s="10">
        <v>5412.049500000001</v>
      </c>
      <c r="F162" s="10">
        <v>16582.950499999999</v>
      </c>
      <c r="G162" s="9">
        <v>16582</v>
      </c>
      <c r="H162" s="29">
        <f t="shared" si="1"/>
        <v>-0.95049999999901047</v>
      </c>
      <c r="I162" s="82"/>
      <c r="J162" s="83"/>
      <c r="K162" s="4"/>
      <c r="L162" s="4"/>
      <c r="M162" s="4"/>
      <c r="N162" s="4"/>
      <c r="O162" s="4"/>
      <c r="P162" s="4"/>
      <c r="Q162" s="4"/>
      <c r="R162" s="4"/>
      <c r="S162" s="4"/>
    </row>
    <row r="163" spans="1:19" s="1" customFormat="1" ht="14.45" customHeight="1">
      <c r="A163" s="84" t="s">
        <v>37</v>
      </c>
      <c r="B163" s="85"/>
      <c r="C163" s="54">
        <v>1</v>
      </c>
      <c r="D163" s="55">
        <v>19.8245</v>
      </c>
      <c r="E163" s="55">
        <v>5431.8740000000007</v>
      </c>
      <c r="F163" s="55">
        <v>16563.126</v>
      </c>
      <c r="G163" s="35">
        <v>16562</v>
      </c>
      <c r="H163" s="29">
        <f t="shared" si="1"/>
        <v>-1.1260000000002037</v>
      </c>
      <c r="I163" s="74" t="s">
        <v>17</v>
      </c>
      <c r="J163" s="75"/>
      <c r="K163" s="4"/>
      <c r="L163" s="4"/>
      <c r="M163" s="4"/>
      <c r="N163" s="4"/>
      <c r="O163" s="4"/>
      <c r="P163" s="4"/>
      <c r="Q163" s="4"/>
      <c r="R163" s="4"/>
      <c r="S163" s="4"/>
    </row>
    <row r="164" spans="1:19" s="1" customFormat="1" ht="14.45" customHeight="1">
      <c r="A164" s="11">
        <v>158</v>
      </c>
      <c r="B164" s="8" t="s">
        <v>2</v>
      </c>
      <c r="C164" s="9">
        <v>2</v>
      </c>
      <c r="D164" s="10">
        <v>33.244500000000002</v>
      </c>
      <c r="E164" s="10">
        <v>5465.1185000000005</v>
      </c>
      <c r="F164" s="10">
        <v>16529.8815</v>
      </c>
      <c r="G164" s="9">
        <v>16529</v>
      </c>
      <c r="H164" s="29">
        <f t="shared" si="1"/>
        <v>-0.88149999999950523</v>
      </c>
      <c r="I164" s="72" t="s">
        <v>40</v>
      </c>
      <c r="J164" s="73"/>
      <c r="K164" s="4"/>
      <c r="L164" s="4"/>
      <c r="M164" s="4"/>
      <c r="N164" s="4"/>
      <c r="O164" s="4"/>
      <c r="P164" s="4"/>
      <c r="Q164" s="4"/>
      <c r="R164" s="4"/>
      <c r="S164" s="4"/>
    </row>
    <row r="165" spans="1:19" s="1" customFormat="1" ht="14.45" customHeight="1">
      <c r="A165" s="50">
        <v>159</v>
      </c>
      <c r="B165" s="51" t="s">
        <v>2</v>
      </c>
      <c r="C165" s="41">
        <v>1</v>
      </c>
      <c r="D165" s="52">
        <v>33.564499999999995</v>
      </c>
      <c r="E165" s="52">
        <v>5498.6830000000009</v>
      </c>
      <c r="F165" s="52">
        <v>16496.316999999999</v>
      </c>
      <c r="G165" s="38">
        <v>16495</v>
      </c>
      <c r="H165" s="29">
        <f t="shared" si="1"/>
        <v>-1.3169999999990978</v>
      </c>
      <c r="I165" s="72"/>
      <c r="J165" s="73"/>
      <c r="K165" s="4"/>
      <c r="L165" s="4"/>
      <c r="M165" s="4"/>
      <c r="N165" s="4"/>
      <c r="O165" s="4"/>
      <c r="P165" s="4"/>
      <c r="Q165" s="4"/>
      <c r="R165" s="4"/>
      <c r="S165" s="4"/>
    </row>
    <row r="166" spans="1:19" s="1" customFormat="1" ht="14.45" customHeight="1">
      <c r="A166" s="11">
        <v>160</v>
      </c>
      <c r="B166" s="8" t="s">
        <v>2</v>
      </c>
      <c r="C166" s="9">
        <v>2</v>
      </c>
      <c r="D166" s="10">
        <v>33.564499999999995</v>
      </c>
      <c r="E166" s="10">
        <v>5532.2475000000013</v>
      </c>
      <c r="F166" s="10">
        <v>16462.752499999999</v>
      </c>
      <c r="G166" s="9">
        <v>16462</v>
      </c>
      <c r="H166" s="29">
        <f t="shared" si="1"/>
        <v>-0.75249999999869033</v>
      </c>
      <c r="I166" s="72"/>
      <c r="J166" s="73"/>
      <c r="K166" s="4"/>
      <c r="L166" s="4"/>
      <c r="M166" s="4"/>
      <c r="N166" s="4"/>
      <c r="O166" s="4"/>
      <c r="P166" s="4"/>
      <c r="Q166" s="4"/>
      <c r="R166" s="4"/>
      <c r="S166" s="4"/>
    </row>
    <row r="167" spans="1:19" s="1" customFormat="1" ht="12.6" customHeight="1">
      <c r="A167" s="11">
        <v>161</v>
      </c>
      <c r="B167" s="8" t="s">
        <v>2</v>
      </c>
      <c r="C167" s="9">
        <v>2</v>
      </c>
      <c r="D167" s="10">
        <v>33.564499999999995</v>
      </c>
      <c r="E167" s="10">
        <v>5565.8120000000017</v>
      </c>
      <c r="F167" s="10">
        <v>16429.187999999998</v>
      </c>
      <c r="G167" s="9">
        <v>16427</v>
      </c>
      <c r="H167" s="29">
        <f t="shared" si="1"/>
        <v>-2.1879999999982829</v>
      </c>
      <c r="I167" s="80"/>
      <c r="J167" s="81"/>
      <c r="K167" s="4"/>
      <c r="L167" s="4"/>
      <c r="M167" s="4"/>
      <c r="N167" s="4"/>
      <c r="O167" s="4"/>
      <c r="P167" s="4"/>
      <c r="Q167" s="4"/>
      <c r="R167" s="4"/>
      <c r="S167" s="4"/>
    </row>
    <row r="168" spans="1:19" s="1" customFormat="1" ht="12.6" customHeight="1">
      <c r="A168" s="11">
        <v>162</v>
      </c>
      <c r="B168" s="8" t="s">
        <v>2</v>
      </c>
      <c r="C168" s="9">
        <v>2</v>
      </c>
      <c r="D168" s="10">
        <v>33.564499999999995</v>
      </c>
      <c r="E168" s="10">
        <v>5599.3765000000021</v>
      </c>
      <c r="F168" s="10">
        <v>16395.623499999998</v>
      </c>
      <c r="G168" s="9">
        <v>16395</v>
      </c>
      <c r="H168" s="29">
        <f t="shared" si="1"/>
        <v>-0.62349999999787542</v>
      </c>
      <c r="I168" s="78"/>
      <c r="J168" s="79"/>
      <c r="K168" s="4"/>
      <c r="L168" s="4"/>
      <c r="M168" s="4"/>
      <c r="N168" s="4"/>
      <c r="O168" s="4"/>
      <c r="P168" s="4"/>
      <c r="Q168" s="4"/>
      <c r="R168" s="4"/>
      <c r="S168" s="4"/>
    </row>
    <row r="169" spans="1:19" s="1" customFormat="1" ht="12.6" customHeight="1">
      <c r="A169" s="11">
        <v>163</v>
      </c>
      <c r="B169" s="8" t="s">
        <v>2</v>
      </c>
      <c r="C169" s="9">
        <v>2</v>
      </c>
      <c r="D169" s="10">
        <v>33.414500000000004</v>
      </c>
      <c r="E169" s="10">
        <v>5632.791000000002</v>
      </c>
      <c r="F169" s="10">
        <v>16362.208999999999</v>
      </c>
      <c r="G169" s="9">
        <v>16360</v>
      </c>
      <c r="H169" s="29">
        <f t="shared" si="1"/>
        <v>-2.2089999999989232</v>
      </c>
      <c r="I169" s="78"/>
      <c r="J169" s="79"/>
      <c r="K169" s="4"/>
      <c r="L169" s="4"/>
      <c r="M169" s="4"/>
      <c r="N169" s="4"/>
      <c r="O169" s="4"/>
      <c r="P169" s="4"/>
      <c r="Q169" s="4"/>
      <c r="R169" s="4"/>
      <c r="S169" s="4"/>
    </row>
    <row r="170" spans="1:19" s="1" customFormat="1" ht="12.6" customHeight="1">
      <c r="A170" s="11">
        <v>164</v>
      </c>
      <c r="B170" s="8" t="s">
        <v>2</v>
      </c>
      <c r="C170" s="9">
        <v>2</v>
      </c>
      <c r="D170" s="10">
        <v>33.024500000000003</v>
      </c>
      <c r="E170" s="10">
        <v>5665.8155000000024</v>
      </c>
      <c r="F170" s="10">
        <v>16329.184499999998</v>
      </c>
      <c r="G170" s="9">
        <v>16327</v>
      </c>
      <c r="H170" s="29">
        <f t="shared" si="1"/>
        <v>-2.1844999999975698</v>
      </c>
      <c r="I170" s="78"/>
      <c r="J170" s="79"/>
      <c r="K170" s="4"/>
      <c r="L170" s="4"/>
      <c r="M170" s="4"/>
      <c r="N170" s="4"/>
      <c r="O170" s="4"/>
      <c r="P170" s="4"/>
      <c r="Q170" s="4"/>
      <c r="R170" s="4"/>
      <c r="S170" s="4"/>
    </row>
    <row r="171" spans="1:19" s="1" customFormat="1" ht="12.6" customHeight="1">
      <c r="A171" s="11">
        <v>165</v>
      </c>
      <c r="B171" s="8" t="s">
        <v>2</v>
      </c>
      <c r="C171" s="9">
        <v>2</v>
      </c>
      <c r="D171" s="10">
        <v>33.204499999999996</v>
      </c>
      <c r="E171" s="10">
        <v>5699.0200000000023</v>
      </c>
      <c r="F171" s="12">
        <v>16295.979999999998</v>
      </c>
      <c r="G171" s="30">
        <v>16293</v>
      </c>
      <c r="H171" s="29">
        <f t="shared" si="1"/>
        <v>-2.9799999999977445</v>
      </c>
      <c r="I171" s="78" t="s">
        <v>22</v>
      </c>
      <c r="J171" s="79"/>
      <c r="K171" s="4"/>
      <c r="L171" s="4"/>
      <c r="M171" s="4"/>
      <c r="N171" s="4"/>
      <c r="O171" s="4"/>
      <c r="P171" s="4"/>
      <c r="Q171" s="4"/>
      <c r="R171" s="4"/>
      <c r="S171" s="4"/>
    </row>
    <row r="172" spans="1:19" s="1" customFormat="1" ht="12.6" customHeight="1">
      <c r="A172" s="11">
        <v>166</v>
      </c>
      <c r="B172" s="8" t="s">
        <v>2</v>
      </c>
      <c r="C172" s="9">
        <v>2</v>
      </c>
      <c r="D172" s="10">
        <v>33.194500000000005</v>
      </c>
      <c r="E172" s="10">
        <v>5732.2145000000019</v>
      </c>
      <c r="F172" s="12">
        <v>16262.785499999998</v>
      </c>
      <c r="G172" s="30">
        <v>16263</v>
      </c>
      <c r="H172" s="29">
        <f t="shared" si="1"/>
        <v>0.21450000000186265</v>
      </c>
      <c r="I172" s="78"/>
      <c r="J172" s="79"/>
      <c r="K172" s="4"/>
      <c r="L172" s="4"/>
      <c r="M172" s="4"/>
      <c r="N172" s="4"/>
      <c r="O172" s="4"/>
      <c r="P172" s="4"/>
      <c r="Q172" s="4"/>
      <c r="R172" s="4"/>
      <c r="S172" s="4"/>
    </row>
    <row r="173" spans="1:19" s="1" customFormat="1" ht="12.6" customHeight="1">
      <c r="A173" s="11">
        <v>167</v>
      </c>
      <c r="B173" s="8" t="s">
        <v>2</v>
      </c>
      <c r="C173" s="9">
        <v>2</v>
      </c>
      <c r="D173" s="10">
        <v>33.444500000000005</v>
      </c>
      <c r="E173" s="10">
        <v>5765.6590000000015</v>
      </c>
      <c r="F173" s="10">
        <v>16229.340999999999</v>
      </c>
      <c r="G173" s="9">
        <v>16229</v>
      </c>
      <c r="H173" s="29">
        <f t="shared" si="1"/>
        <v>-0.34099999999853026</v>
      </c>
      <c r="I173" s="78" t="s">
        <v>23</v>
      </c>
      <c r="J173" s="79"/>
      <c r="K173" s="4"/>
      <c r="L173" s="4"/>
      <c r="M173" s="4"/>
      <c r="N173" s="4"/>
      <c r="O173" s="4"/>
      <c r="P173" s="4"/>
      <c r="Q173" s="4"/>
      <c r="R173" s="4"/>
      <c r="S173" s="4"/>
    </row>
    <row r="174" spans="1:19" s="1" customFormat="1" ht="12.6" customHeight="1">
      <c r="A174" s="11">
        <v>168</v>
      </c>
      <c r="B174" s="8" t="s">
        <v>2</v>
      </c>
      <c r="C174" s="9">
        <v>2</v>
      </c>
      <c r="D174" s="10">
        <v>33.534499999999994</v>
      </c>
      <c r="E174" s="10">
        <v>5799.1935000000012</v>
      </c>
      <c r="F174" s="10">
        <v>16195.806499999999</v>
      </c>
      <c r="G174" s="9">
        <v>16195</v>
      </c>
      <c r="H174" s="29">
        <f t="shared" si="1"/>
        <v>-0.80649999999877764</v>
      </c>
      <c r="I174" s="78"/>
      <c r="J174" s="79"/>
      <c r="K174" s="4"/>
      <c r="L174" s="4"/>
      <c r="M174" s="4"/>
      <c r="N174" s="4"/>
      <c r="O174" s="4"/>
      <c r="P174" s="4"/>
      <c r="Q174" s="4"/>
      <c r="R174" s="4"/>
      <c r="S174" s="4"/>
    </row>
    <row r="175" spans="1:19" s="1" customFormat="1" ht="12.6" customHeight="1">
      <c r="A175" s="11">
        <v>169</v>
      </c>
      <c r="B175" s="8" t="s">
        <v>2</v>
      </c>
      <c r="C175" s="9">
        <v>2</v>
      </c>
      <c r="D175" s="10">
        <v>33.534499999999994</v>
      </c>
      <c r="E175" s="10">
        <v>5832.728000000001</v>
      </c>
      <c r="F175" s="10">
        <v>16162.271999999999</v>
      </c>
      <c r="G175" s="9"/>
      <c r="H175" s="29">
        <f t="shared" si="1"/>
        <v>-16162.271999999999</v>
      </c>
      <c r="I175" s="78"/>
      <c r="J175" s="79"/>
      <c r="K175" s="4"/>
      <c r="L175" s="4"/>
      <c r="M175" s="4"/>
      <c r="N175" s="4"/>
      <c r="O175" s="4"/>
      <c r="P175" s="4"/>
      <c r="Q175" s="4"/>
      <c r="R175" s="4"/>
      <c r="S175" s="4"/>
    </row>
    <row r="176" spans="1:19" s="1" customFormat="1" ht="12.6" customHeight="1">
      <c r="A176" s="11">
        <v>170</v>
      </c>
      <c r="B176" s="8" t="s">
        <v>2</v>
      </c>
      <c r="C176" s="9">
        <v>2</v>
      </c>
      <c r="D176" s="10">
        <v>33.524500000000003</v>
      </c>
      <c r="E176" s="10">
        <v>5866.2525000000014</v>
      </c>
      <c r="F176" s="10">
        <v>16128.747499999998</v>
      </c>
      <c r="G176" s="9"/>
      <c r="H176" s="29">
        <f t="shared" si="1"/>
        <v>-16128.747499999998</v>
      </c>
      <c r="I176" s="78"/>
      <c r="J176" s="79"/>
      <c r="K176" s="4"/>
      <c r="L176" s="4"/>
      <c r="M176" s="4"/>
      <c r="N176" s="4"/>
      <c r="O176" s="4"/>
      <c r="P176" s="4"/>
      <c r="Q176" s="4"/>
      <c r="R176" s="4"/>
      <c r="S176" s="4"/>
    </row>
    <row r="177" spans="1:19" s="1" customFormat="1" ht="12.6" customHeight="1">
      <c r="A177" s="11">
        <v>171</v>
      </c>
      <c r="B177" s="8" t="s">
        <v>2</v>
      </c>
      <c r="C177" s="9">
        <v>2</v>
      </c>
      <c r="D177" s="10">
        <v>33.534499999999994</v>
      </c>
      <c r="E177" s="10">
        <v>5899.7870000000012</v>
      </c>
      <c r="F177" s="10">
        <v>16095.213</v>
      </c>
      <c r="G177" s="9"/>
      <c r="H177" s="29">
        <f t="shared" si="1"/>
        <v>-16095.213</v>
      </c>
      <c r="I177" s="78"/>
      <c r="J177" s="79"/>
      <c r="K177" s="4"/>
      <c r="L177" s="4"/>
      <c r="M177" s="4"/>
      <c r="N177" s="4"/>
      <c r="O177" s="4"/>
      <c r="P177" s="4"/>
      <c r="Q177" s="4"/>
      <c r="R177" s="4"/>
      <c r="S177" s="4"/>
    </row>
    <row r="178" spans="1:19" s="1" customFormat="1" ht="12.6" customHeight="1">
      <c r="A178" s="11">
        <v>172</v>
      </c>
      <c r="B178" s="8" t="s">
        <v>2</v>
      </c>
      <c r="C178" s="9">
        <v>2</v>
      </c>
      <c r="D178" s="10">
        <v>33.534499999999994</v>
      </c>
      <c r="E178" s="10">
        <v>5933.3215000000009</v>
      </c>
      <c r="F178" s="10">
        <v>16061.678499999998</v>
      </c>
      <c r="G178" s="9"/>
      <c r="H178" s="29">
        <f t="shared" si="1"/>
        <v>-16061.678499999998</v>
      </c>
      <c r="I178" s="78"/>
      <c r="J178" s="79"/>
      <c r="K178" s="4"/>
      <c r="L178" s="4"/>
      <c r="M178" s="4"/>
      <c r="N178" s="4"/>
      <c r="O178" s="4"/>
      <c r="P178" s="4"/>
      <c r="Q178" s="4"/>
      <c r="R178" s="4"/>
      <c r="S178" s="4"/>
    </row>
    <row r="179" spans="1:19" s="1" customFormat="1" ht="12.6" customHeight="1">
      <c r="A179" s="11">
        <v>173</v>
      </c>
      <c r="B179" s="8" t="s">
        <v>2</v>
      </c>
      <c r="C179" s="9">
        <v>2</v>
      </c>
      <c r="D179" s="10">
        <v>33.534499999999994</v>
      </c>
      <c r="E179" s="10">
        <v>5966.8560000000007</v>
      </c>
      <c r="F179" s="10">
        <v>16028.144</v>
      </c>
      <c r="G179" s="9"/>
      <c r="H179" s="29">
        <f t="shared" si="1"/>
        <v>-16028.144</v>
      </c>
      <c r="I179" s="78"/>
      <c r="J179" s="79"/>
      <c r="K179" s="4"/>
      <c r="L179" s="4"/>
      <c r="M179" s="4"/>
      <c r="N179" s="4"/>
      <c r="O179" s="4"/>
      <c r="P179" s="4"/>
      <c r="Q179" s="4"/>
      <c r="R179" s="4"/>
      <c r="S179" s="4"/>
    </row>
    <row r="180" spans="1:19" s="1" customFormat="1" ht="12.6" customHeight="1">
      <c r="A180" s="11">
        <v>174</v>
      </c>
      <c r="B180" s="8" t="s">
        <v>2</v>
      </c>
      <c r="C180" s="9">
        <v>2</v>
      </c>
      <c r="D180" s="10">
        <v>33.534499999999994</v>
      </c>
      <c r="E180" s="10">
        <v>6000.3905000000004</v>
      </c>
      <c r="F180" s="10">
        <v>15994.609499999999</v>
      </c>
      <c r="G180" s="9"/>
      <c r="H180" s="29">
        <f t="shared" si="1"/>
        <v>-15994.609499999999</v>
      </c>
      <c r="I180" s="78"/>
      <c r="J180" s="79"/>
      <c r="K180" s="4"/>
      <c r="L180" s="4"/>
      <c r="M180" s="4"/>
      <c r="N180" s="4"/>
      <c r="O180" s="4"/>
      <c r="P180" s="4"/>
      <c r="Q180" s="4"/>
      <c r="R180" s="4"/>
      <c r="S180" s="4"/>
    </row>
    <row r="181" spans="1:19" s="1" customFormat="1" ht="12.6" customHeight="1">
      <c r="A181" s="11">
        <v>175</v>
      </c>
      <c r="B181" s="8" t="s">
        <v>2</v>
      </c>
      <c r="C181" s="9">
        <v>2</v>
      </c>
      <c r="D181" s="10">
        <v>33.344499999999996</v>
      </c>
      <c r="E181" s="10">
        <v>6033.7350000000006</v>
      </c>
      <c r="F181" s="10">
        <v>15961.264999999999</v>
      </c>
      <c r="G181" s="9"/>
      <c r="H181" s="29"/>
      <c r="I181" s="78"/>
      <c r="J181" s="79"/>
      <c r="K181" s="4"/>
      <c r="L181" s="4"/>
      <c r="M181" s="4"/>
      <c r="N181" s="4"/>
      <c r="O181" s="4"/>
      <c r="P181" s="4"/>
      <c r="Q181" s="4"/>
      <c r="R181" s="4"/>
      <c r="S181" s="4"/>
    </row>
    <row r="182" spans="1:19" s="1" customFormat="1" ht="12.6" customHeight="1">
      <c r="A182" s="11">
        <v>176</v>
      </c>
      <c r="B182" s="8" t="s">
        <v>2</v>
      </c>
      <c r="C182" s="9">
        <v>2</v>
      </c>
      <c r="D182" s="10">
        <v>33.444500000000005</v>
      </c>
      <c r="E182" s="10">
        <v>6067.1795000000002</v>
      </c>
      <c r="F182" s="10">
        <v>15927.8205</v>
      </c>
      <c r="G182" s="9"/>
      <c r="H182" s="29"/>
      <c r="I182" s="78"/>
      <c r="J182" s="79"/>
      <c r="K182" s="4"/>
      <c r="L182" s="4"/>
      <c r="M182" s="4"/>
      <c r="N182" s="4"/>
      <c r="O182" s="4"/>
      <c r="P182" s="4"/>
      <c r="Q182" s="4"/>
      <c r="R182" s="4"/>
      <c r="S182" s="4"/>
    </row>
    <row r="183" spans="1:19" s="1" customFormat="1" ht="12.6" customHeight="1">
      <c r="A183" s="11">
        <v>177</v>
      </c>
      <c r="B183" s="8" t="s">
        <v>2</v>
      </c>
      <c r="C183" s="9">
        <v>2</v>
      </c>
      <c r="D183" s="10">
        <v>33.564499999999995</v>
      </c>
      <c r="E183" s="10">
        <v>6100.7440000000006</v>
      </c>
      <c r="F183" s="10">
        <v>15894.255999999999</v>
      </c>
      <c r="G183" s="9"/>
      <c r="H183" s="29"/>
      <c r="I183" s="78"/>
      <c r="J183" s="79"/>
      <c r="K183" s="4"/>
      <c r="L183" s="4"/>
      <c r="M183" s="4"/>
      <c r="N183" s="4"/>
      <c r="O183" s="4"/>
      <c r="P183" s="4"/>
      <c r="Q183" s="4"/>
      <c r="R183" s="4"/>
      <c r="S183" s="4"/>
    </row>
    <row r="184" spans="1:19" s="1" customFormat="1" ht="12.6" customHeight="1">
      <c r="A184" s="11">
        <v>178</v>
      </c>
      <c r="B184" s="8" t="s">
        <v>2</v>
      </c>
      <c r="C184" s="9">
        <v>2</v>
      </c>
      <c r="D184" s="10">
        <v>33.564499999999995</v>
      </c>
      <c r="E184" s="10">
        <v>6134.308500000001</v>
      </c>
      <c r="F184" s="10">
        <v>15860.691499999999</v>
      </c>
      <c r="G184" s="9"/>
      <c r="H184" s="29"/>
      <c r="I184" s="78"/>
      <c r="J184" s="79"/>
      <c r="K184" s="4"/>
      <c r="L184" s="4"/>
      <c r="M184" s="4"/>
      <c r="N184" s="4"/>
      <c r="O184" s="4"/>
      <c r="P184" s="4"/>
      <c r="Q184" s="4"/>
      <c r="R184" s="4"/>
      <c r="S184" s="4"/>
    </row>
    <row r="185" spans="1:19" s="1" customFormat="1" ht="12.6" customHeight="1">
      <c r="A185" s="11">
        <v>179</v>
      </c>
      <c r="B185" s="8" t="s">
        <v>2</v>
      </c>
      <c r="C185" s="9">
        <v>2</v>
      </c>
      <c r="D185" s="10">
        <v>33.534499999999994</v>
      </c>
      <c r="E185" s="10">
        <v>6167.8430000000008</v>
      </c>
      <c r="F185" s="10">
        <v>15827.156999999999</v>
      </c>
      <c r="G185" s="9"/>
      <c r="H185" s="29"/>
      <c r="I185" s="78"/>
      <c r="J185" s="79"/>
      <c r="K185" s="4"/>
      <c r="L185" s="4"/>
      <c r="M185" s="4"/>
      <c r="N185" s="4"/>
      <c r="O185" s="4"/>
      <c r="P185" s="4"/>
      <c r="Q185" s="4"/>
      <c r="R185" s="4"/>
      <c r="S185" s="4"/>
    </row>
    <row r="186" spans="1:19" s="1" customFormat="1" ht="12.6" customHeight="1">
      <c r="A186" s="11">
        <v>180</v>
      </c>
      <c r="B186" s="8" t="s">
        <v>2</v>
      </c>
      <c r="C186" s="9">
        <v>2</v>
      </c>
      <c r="D186" s="10">
        <v>33.534499999999994</v>
      </c>
      <c r="E186" s="10">
        <v>6201.3775000000005</v>
      </c>
      <c r="F186" s="10">
        <v>15793.622499999999</v>
      </c>
      <c r="G186" s="9"/>
      <c r="H186" s="29"/>
      <c r="I186" s="78"/>
      <c r="J186" s="79"/>
      <c r="K186" s="4"/>
      <c r="L186" s="4"/>
      <c r="M186" s="4"/>
      <c r="N186" s="4"/>
      <c r="O186" s="4"/>
      <c r="P186" s="4"/>
      <c r="Q186" s="4"/>
      <c r="R186" s="4"/>
      <c r="S186" s="4"/>
    </row>
    <row r="187" spans="1:19" s="1" customFormat="1" ht="12.6" customHeight="1">
      <c r="A187" s="11">
        <v>181</v>
      </c>
      <c r="B187" s="8" t="s">
        <v>2</v>
      </c>
      <c r="C187" s="9">
        <v>2</v>
      </c>
      <c r="D187" s="10">
        <v>33.314499999999995</v>
      </c>
      <c r="E187" s="10">
        <v>6234.6920000000009</v>
      </c>
      <c r="F187" s="10">
        <v>15760.307999999999</v>
      </c>
      <c r="G187" s="9"/>
      <c r="H187" s="29"/>
      <c r="I187" s="78"/>
      <c r="J187" s="79"/>
      <c r="K187" s="4"/>
      <c r="L187" s="4"/>
      <c r="M187" s="4"/>
      <c r="N187" s="4"/>
      <c r="O187" s="4"/>
      <c r="P187" s="4"/>
      <c r="Q187" s="4"/>
      <c r="R187" s="4"/>
      <c r="S187" s="4"/>
    </row>
    <row r="188" spans="1:19" s="1" customFormat="1" ht="12.6" customHeight="1">
      <c r="A188" s="11">
        <v>182</v>
      </c>
      <c r="B188" s="8" t="s">
        <v>2</v>
      </c>
      <c r="C188" s="9">
        <v>2</v>
      </c>
      <c r="D188" s="10">
        <v>33.334500000000006</v>
      </c>
      <c r="E188" s="10">
        <v>6268.0265000000009</v>
      </c>
      <c r="F188" s="10">
        <v>15726.9735</v>
      </c>
      <c r="G188" s="9"/>
      <c r="H188" s="29"/>
      <c r="I188" s="78"/>
      <c r="J188" s="79"/>
      <c r="K188" s="4"/>
      <c r="L188" s="4"/>
      <c r="M188" s="4"/>
      <c r="N188" s="4"/>
      <c r="O188" s="4"/>
      <c r="P188" s="4"/>
      <c r="Q188" s="4"/>
      <c r="R188" s="4"/>
      <c r="S188" s="4"/>
    </row>
    <row r="189" spans="1:19" s="1" customFormat="1" ht="12.6" customHeight="1">
      <c r="A189" s="11">
        <v>183</v>
      </c>
      <c r="B189" s="8" t="s">
        <v>2</v>
      </c>
      <c r="C189" s="9">
        <v>2</v>
      </c>
      <c r="D189" s="10">
        <v>33.254499999999993</v>
      </c>
      <c r="E189" s="10">
        <v>6301.2810000000009</v>
      </c>
      <c r="F189" s="10">
        <v>15693.718999999999</v>
      </c>
      <c r="G189" s="9"/>
      <c r="H189" s="29"/>
      <c r="I189" s="78"/>
      <c r="J189" s="79"/>
      <c r="K189" s="4"/>
      <c r="L189" s="4"/>
      <c r="M189" s="4"/>
      <c r="N189" s="4"/>
      <c r="O189" s="4"/>
      <c r="P189" s="4"/>
      <c r="Q189" s="4"/>
      <c r="R189" s="4"/>
      <c r="S189" s="4"/>
    </row>
    <row r="190" spans="1:19" s="1" customFormat="1" ht="12.6" customHeight="1">
      <c r="A190" s="11">
        <v>184</v>
      </c>
      <c r="B190" s="8" t="s">
        <v>2</v>
      </c>
      <c r="C190" s="9">
        <v>2</v>
      </c>
      <c r="D190" s="10">
        <v>33.564499999999995</v>
      </c>
      <c r="E190" s="10">
        <v>6334.8455000000013</v>
      </c>
      <c r="F190" s="10">
        <v>15660.154499999999</v>
      </c>
      <c r="G190" s="9"/>
      <c r="H190" s="29"/>
      <c r="I190" s="78"/>
      <c r="J190" s="79"/>
      <c r="K190" s="4"/>
      <c r="L190" s="4"/>
      <c r="M190" s="4"/>
      <c r="N190" s="4"/>
      <c r="O190" s="4"/>
      <c r="P190" s="4"/>
      <c r="Q190" s="4"/>
      <c r="R190" s="4"/>
      <c r="S190" s="4"/>
    </row>
    <row r="191" spans="1:19" s="1" customFormat="1" ht="12.6" customHeight="1">
      <c r="A191" s="11">
        <v>185</v>
      </c>
      <c r="B191" s="8" t="s">
        <v>2</v>
      </c>
      <c r="C191" s="9">
        <v>2</v>
      </c>
      <c r="D191" s="10">
        <v>32.754499999999993</v>
      </c>
      <c r="E191" s="10">
        <v>6367.6000000000013</v>
      </c>
      <c r="F191" s="10">
        <v>15627.399999999998</v>
      </c>
      <c r="G191" s="9"/>
      <c r="H191" s="29"/>
      <c r="I191" s="78"/>
      <c r="J191" s="79"/>
      <c r="K191" s="4"/>
      <c r="L191" s="4"/>
      <c r="M191" s="4"/>
      <c r="N191" s="4"/>
      <c r="O191" s="4"/>
      <c r="P191" s="4"/>
      <c r="Q191" s="4"/>
      <c r="R191" s="4"/>
      <c r="S191" s="4"/>
    </row>
    <row r="192" spans="1:19" s="1" customFormat="1" ht="12.6" customHeight="1">
      <c r="A192" s="11">
        <v>186</v>
      </c>
      <c r="B192" s="8" t="s">
        <v>2</v>
      </c>
      <c r="C192" s="9">
        <v>2</v>
      </c>
      <c r="D192" s="10">
        <v>33.534499999999994</v>
      </c>
      <c r="E192" s="10">
        <v>6401.134500000001</v>
      </c>
      <c r="F192" s="10">
        <v>15593.8655</v>
      </c>
      <c r="G192" s="9"/>
      <c r="H192" s="29"/>
      <c r="I192" s="78"/>
      <c r="J192" s="79"/>
      <c r="K192" s="4"/>
      <c r="L192" s="4"/>
      <c r="M192" s="4"/>
      <c r="N192" s="4"/>
      <c r="O192" s="4"/>
      <c r="P192" s="4"/>
      <c r="Q192" s="4"/>
      <c r="R192" s="4"/>
      <c r="S192" s="4"/>
    </row>
    <row r="193" spans="1:19" s="1" customFormat="1" ht="12.6" customHeight="1">
      <c r="A193" s="11">
        <v>187</v>
      </c>
      <c r="B193" s="8" t="s">
        <v>2</v>
      </c>
      <c r="C193" s="9">
        <v>2</v>
      </c>
      <c r="D193" s="10">
        <v>33.564499999999995</v>
      </c>
      <c r="E193" s="10">
        <v>6434.6990000000014</v>
      </c>
      <c r="F193" s="10">
        <v>15560.300999999999</v>
      </c>
      <c r="G193" s="9"/>
      <c r="H193" s="29"/>
      <c r="I193" s="78"/>
      <c r="J193" s="79"/>
      <c r="K193" s="4"/>
      <c r="L193" s="4"/>
      <c r="M193" s="4"/>
      <c r="N193" s="4"/>
      <c r="O193" s="4"/>
      <c r="P193" s="4"/>
      <c r="Q193" s="4"/>
      <c r="R193" s="4"/>
      <c r="S193" s="4"/>
    </row>
    <row r="194" spans="1:19" s="1" customFormat="1" ht="12.6" customHeight="1">
      <c r="A194" s="11">
        <v>188</v>
      </c>
      <c r="B194" s="8" t="s">
        <v>2</v>
      </c>
      <c r="C194" s="9">
        <v>2</v>
      </c>
      <c r="D194" s="10">
        <v>33.154499999999999</v>
      </c>
      <c r="E194" s="10">
        <v>6467.8535000000011</v>
      </c>
      <c r="F194" s="10">
        <v>15527.146499999999</v>
      </c>
      <c r="G194" s="9"/>
      <c r="H194" s="29"/>
      <c r="I194" s="78"/>
      <c r="J194" s="79"/>
      <c r="K194" s="4"/>
      <c r="L194" s="4"/>
      <c r="M194" s="4"/>
      <c r="N194" s="4"/>
      <c r="O194" s="4"/>
      <c r="P194" s="4"/>
      <c r="Q194" s="4"/>
      <c r="R194" s="4"/>
      <c r="S194" s="4"/>
    </row>
    <row r="195" spans="1:19" s="1" customFormat="1" ht="12.6" customHeight="1">
      <c r="A195" s="11">
        <v>189</v>
      </c>
      <c r="B195" s="8" t="s">
        <v>2</v>
      </c>
      <c r="C195" s="9">
        <v>2</v>
      </c>
      <c r="D195" s="10">
        <v>33.174499999999995</v>
      </c>
      <c r="E195" s="10">
        <v>6501.0280000000012</v>
      </c>
      <c r="F195" s="10">
        <v>15493.971999999998</v>
      </c>
      <c r="G195" s="9"/>
      <c r="H195" s="29"/>
      <c r="I195" s="78"/>
      <c r="J195" s="79"/>
      <c r="K195" s="4"/>
      <c r="L195" s="4"/>
      <c r="M195" s="4"/>
      <c r="N195" s="4"/>
      <c r="O195" s="4"/>
      <c r="P195" s="4"/>
      <c r="Q195" s="4"/>
      <c r="R195" s="4"/>
      <c r="S195" s="4"/>
    </row>
    <row r="196" spans="1:19" s="1" customFormat="1" ht="12.6" customHeight="1">
      <c r="A196" s="11">
        <v>190</v>
      </c>
      <c r="B196" s="8" t="s">
        <v>2</v>
      </c>
      <c r="C196" s="9">
        <v>2</v>
      </c>
      <c r="D196" s="10">
        <v>33.564499999999995</v>
      </c>
      <c r="E196" s="10">
        <v>6534.5925000000016</v>
      </c>
      <c r="F196" s="10">
        <v>15460.407499999998</v>
      </c>
      <c r="G196" s="9"/>
      <c r="H196" s="29"/>
      <c r="I196" s="78"/>
      <c r="J196" s="79"/>
      <c r="K196" s="4"/>
      <c r="L196" s="4"/>
      <c r="M196" s="4"/>
      <c r="N196" s="4"/>
      <c r="O196" s="4"/>
      <c r="P196" s="4"/>
      <c r="Q196" s="4"/>
      <c r="R196" s="4"/>
      <c r="S196" s="4"/>
    </row>
    <row r="197" spans="1:19" s="1" customFormat="1" ht="12.6" customHeight="1">
      <c r="A197" s="11">
        <v>191</v>
      </c>
      <c r="B197" s="8" t="s">
        <v>2</v>
      </c>
      <c r="C197" s="9">
        <v>2</v>
      </c>
      <c r="D197" s="10">
        <v>33.414500000000004</v>
      </c>
      <c r="E197" s="10">
        <v>6568.0070000000014</v>
      </c>
      <c r="F197" s="10">
        <v>15426.992999999999</v>
      </c>
      <c r="G197" s="9"/>
      <c r="H197" s="29"/>
      <c r="I197" s="78"/>
      <c r="J197" s="79"/>
      <c r="K197" s="4"/>
      <c r="L197" s="4"/>
      <c r="M197" s="4"/>
      <c r="N197" s="4"/>
      <c r="O197" s="4"/>
      <c r="P197" s="4"/>
      <c r="Q197" s="4"/>
      <c r="R197" s="4"/>
      <c r="S197" s="4"/>
    </row>
    <row r="198" spans="1:19" s="1" customFormat="1" ht="12.6" customHeight="1">
      <c r="A198" s="11">
        <v>192</v>
      </c>
      <c r="B198" s="8" t="s">
        <v>2</v>
      </c>
      <c r="C198" s="9">
        <v>2</v>
      </c>
      <c r="D198" s="10">
        <v>33.504499999999993</v>
      </c>
      <c r="E198" s="10">
        <v>6601.5115000000014</v>
      </c>
      <c r="F198" s="10">
        <v>15393.488499999999</v>
      </c>
      <c r="G198" s="9"/>
      <c r="H198" s="29"/>
      <c r="I198" s="78"/>
      <c r="J198" s="79"/>
      <c r="K198" s="4"/>
      <c r="L198" s="4"/>
      <c r="M198" s="4"/>
      <c r="N198" s="4"/>
      <c r="O198" s="4"/>
      <c r="P198" s="4"/>
      <c r="Q198" s="4"/>
      <c r="R198" s="4"/>
      <c r="S198" s="4"/>
    </row>
    <row r="199" spans="1:19" s="1" customFormat="1" ht="12.6" customHeight="1">
      <c r="A199" s="11">
        <v>193</v>
      </c>
      <c r="B199" s="8" t="s">
        <v>2</v>
      </c>
      <c r="C199" s="9">
        <v>2</v>
      </c>
      <c r="D199" s="10">
        <v>33.224500000000006</v>
      </c>
      <c r="E199" s="10">
        <v>6634.7360000000017</v>
      </c>
      <c r="F199" s="10">
        <v>15360.263999999999</v>
      </c>
      <c r="G199" s="9"/>
      <c r="H199" s="29"/>
      <c r="I199" s="78"/>
      <c r="J199" s="79"/>
      <c r="K199" s="4"/>
      <c r="L199" s="4"/>
      <c r="M199" s="4"/>
      <c r="N199" s="4"/>
      <c r="O199" s="4"/>
      <c r="P199" s="4"/>
      <c r="Q199" s="4"/>
      <c r="R199" s="4"/>
      <c r="S199" s="4"/>
    </row>
    <row r="200" spans="1:19" s="1" customFormat="1" ht="12.6" customHeight="1">
      <c r="A200" s="11">
        <v>194</v>
      </c>
      <c r="B200" s="8" t="s">
        <v>2</v>
      </c>
      <c r="C200" s="9">
        <v>2</v>
      </c>
      <c r="D200" s="10">
        <v>33.554500000000004</v>
      </c>
      <c r="E200" s="10">
        <v>6668.2905000000019</v>
      </c>
      <c r="F200" s="10">
        <v>15326.709499999997</v>
      </c>
      <c r="G200" s="9"/>
      <c r="H200" s="29"/>
      <c r="I200" s="78"/>
      <c r="J200" s="79"/>
      <c r="K200" s="4"/>
      <c r="L200" s="4"/>
      <c r="M200" s="4"/>
      <c r="N200" s="4"/>
      <c r="O200" s="4"/>
      <c r="P200" s="4"/>
      <c r="Q200" s="4"/>
      <c r="R200" s="4"/>
      <c r="S200" s="4"/>
    </row>
    <row r="201" spans="1:19" s="1" customFormat="1" ht="12.6" customHeight="1">
      <c r="A201" s="11">
        <v>195</v>
      </c>
      <c r="B201" s="8" t="s">
        <v>2</v>
      </c>
      <c r="C201" s="9">
        <v>2</v>
      </c>
      <c r="D201" s="10">
        <v>33.564499999999995</v>
      </c>
      <c r="E201" s="10">
        <v>6701.8550000000023</v>
      </c>
      <c r="F201" s="10">
        <v>15293.144999999997</v>
      </c>
      <c r="G201" s="9"/>
      <c r="H201" s="29"/>
      <c r="I201" s="78"/>
      <c r="J201" s="79"/>
      <c r="K201" s="4"/>
      <c r="L201" s="4"/>
      <c r="M201" s="4"/>
      <c r="N201" s="4"/>
      <c r="O201" s="4"/>
      <c r="P201" s="4"/>
      <c r="Q201" s="4"/>
      <c r="R201" s="4"/>
      <c r="S201" s="4"/>
    </row>
    <row r="202" spans="1:19" s="1" customFormat="1" ht="12.6" customHeight="1">
      <c r="A202" s="11">
        <v>196</v>
      </c>
      <c r="B202" s="8" t="s">
        <v>2</v>
      </c>
      <c r="C202" s="9">
        <v>2</v>
      </c>
      <c r="D202" s="10">
        <v>33.554500000000004</v>
      </c>
      <c r="E202" s="10">
        <v>6735.4095000000025</v>
      </c>
      <c r="F202" s="10">
        <v>15259.590499999998</v>
      </c>
      <c r="G202" s="9"/>
      <c r="H202" s="29"/>
      <c r="I202" s="78"/>
      <c r="J202" s="79"/>
      <c r="K202" s="4"/>
      <c r="L202" s="4"/>
      <c r="M202" s="4"/>
      <c r="N202" s="4"/>
      <c r="O202" s="4"/>
      <c r="P202" s="4"/>
      <c r="Q202" s="4"/>
      <c r="R202" s="4"/>
      <c r="S202" s="4"/>
    </row>
    <row r="203" spans="1:19" s="1" customFormat="1" ht="12.6" customHeight="1">
      <c r="A203" s="11">
        <v>197</v>
      </c>
      <c r="B203" s="8" t="s">
        <v>2</v>
      </c>
      <c r="C203" s="9">
        <v>2</v>
      </c>
      <c r="D203" s="10">
        <v>33.554500000000004</v>
      </c>
      <c r="E203" s="10">
        <v>6768.9640000000027</v>
      </c>
      <c r="F203" s="10">
        <v>15226.035999999996</v>
      </c>
      <c r="G203" s="9"/>
      <c r="H203" s="29"/>
      <c r="I203" s="78"/>
      <c r="J203" s="79"/>
      <c r="K203" s="4"/>
      <c r="L203" s="4"/>
      <c r="M203" s="4"/>
      <c r="N203" s="4"/>
      <c r="O203" s="4"/>
      <c r="P203" s="4"/>
      <c r="Q203" s="4"/>
      <c r="R203" s="4"/>
      <c r="S203" s="4"/>
    </row>
    <row r="204" spans="1:19" s="1" customFormat="1" ht="12.6" customHeight="1">
      <c r="A204" s="11">
        <v>198</v>
      </c>
      <c r="B204" s="8" t="s">
        <v>2</v>
      </c>
      <c r="C204" s="9">
        <v>2</v>
      </c>
      <c r="D204" s="10">
        <v>33.554500000000004</v>
      </c>
      <c r="E204" s="10">
        <v>6802.5185000000029</v>
      </c>
      <c r="F204" s="10">
        <v>15192.481499999998</v>
      </c>
      <c r="G204" s="9"/>
      <c r="H204" s="29"/>
      <c r="I204" s="78"/>
      <c r="J204" s="79"/>
      <c r="K204" s="4"/>
      <c r="L204" s="4"/>
      <c r="M204" s="4"/>
      <c r="N204" s="4"/>
      <c r="O204" s="4"/>
      <c r="P204" s="4"/>
      <c r="Q204" s="4"/>
      <c r="R204" s="4"/>
      <c r="S204" s="4"/>
    </row>
    <row r="205" spans="1:19" s="1" customFormat="1" ht="12.6" customHeight="1">
      <c r="A205" s="11">
        <v>199</v>
      </c>
      <c r="B205" s="8" t="s">
        <v>2</v>
      </c>
      <c r="C205" s="9">
        <v>2</v>
      </c>
      <c r="D205" s="10">
        <v>33.084500000000006</v>
      </c>
      <c r="E205" s="10">
        <v>6835.6030000000028</v>
      </c>
      <c r="F205" s="10">
        <v>15159.396999999997</v>
      </c>
      <c r="G205" s="9"/>
      <c r="H205" s="29"/>
      <c r="I205" s="78"/>
      <c r="J205" s="79"/>
      <c r="K205" s="4"/>
      <c r="L205" s="4"/>
      <c r="M205" s="4"/>
      <c r="N205" s="4"/>
      <c r="O205" s="4"/>
      <c r="P205" s="4"/>
      <c r="Q205" s="4"/>
      <c r="R205" s="4"/>
      <c r="S205" s="4"/>
    </row>
    <row r="206" spans="1:19" s="1" customFormat="1" ht="12.6" customHeight="1">
      <c r="A206" s="11">
        <v>200</v>
      </c>
      <c r="B206" s="8" t="s">
        <v>2</v>
      </c>
      <c r="C206" s="9">
        <v>2</v>
      </c>
      <c r="D206" s="10">
        <v>33.364500000000007</v>
      </c>
      <c r="E206" s="10">
        <v>6868.9675000000025</v>
      </c>
      <c r="F206" s="10">
        <v>15126.032499999998</v>
      </c>
      <c r="G206" s="9"/>
      <c r="H206" s="29"/>
      <c r="I206" s="78"/>
      <c r="J206" s="79"/>
      <c r="K206" s="4"/>
      <c r="L206" s="4"/>
      <c r="M206" s="4"/>
      <c r="N206" s="4"/>
      <c r="O206" s="4"/>
      <c r="P206" s="4"/>
      <c r="Q206" s="4"/>
      <c r="R206" s="4"/>
      <c r="S206" s="4"/>
    </row>
    <row r="207" spans="1:19" s="1" customFormat="1" ht="12.6" customHeight="1">
      <c r="A207" s="11">
        <v>201</v>
      </c>
      <c r="B207" s="8" t="s">
        <v>2</v>
      </c>
      <c r="C207" s="9">
        <v>2</v>
      </c>
      <c r="D207" s="10">
        <v>33.364500000000007</v>
      </c>
      <c r="E207" s="10">
        <v>6902.3320000000022</v>
      </c>
      <c r="F207" s="10">
        <v>15092.667999999998</v>
      </c>
      <c r="G207" s="9"/>
      <c r="H207" s="29"/>
      <c r="I207" s="78"/>
      <c r="J207" s="79"/>
      <c r="K207" s="4"/>
      <c r="L207" s="4"/>
      <c r="M207" s="4"/>
      <c r="N207" s="4"/>
      <c r="O207" s="4"/>
      <c r="P207" s="4"/>
      <c r="Q207" s="4"/>
      <c r="R207" s="4"/>
      <c r="S207" s="4"/>
    </row>
    <row r="208" spans="1:19" s="1" customFormat="1" ht="12.6" customHeight="1">
      <c r="A208" s="11">
        <v>202</v>
      </c>
      <c r="B208" s="8" t="s">
        <v>2</v>
      </c>
      <c r="C208" s="9">
        <v>2</v>
      </c>
      <c r="D208" s="10">
        <v>31.8445</v>
      </c>
      <c r="E208" s="10">
        <v>6934.1765000000023</v>
      </c>
      <c r="F208" s="10">
        <v>15060.823499999999</v>
      </c>
      <c r="G208" s="9"/>
      <c r="H208" s="29"/>
      <c r="I208" s="78"/>
      <c r="J208" s="79"/>
      <c r="K208" s="4"/>
      <c r="L208" s="4"/>
      <c r="M208" s="4"/>
      <c r="N208" s="4"/>
      <c r="O208" s="4"/>
      <c r="P208" s="4"/>
      <c r="Q208" s="4"/>
      <c r="R208" s="4"/>
      <c r="S208" s="4"/>
    </row>
    <row r="209" spans="1:19" s="1" customFormat="1" ht="12.6" customHeight="1">
      <c r="A209" s="11">
        <v>203</v>
      </c>
      <c r="B209" s="8" t="s">
        <v>2</v>
      </c>
      <c r="C209" s="9">
        <v>2</v>
      </c>
      <c r="D209" s="10">
        <v>32.614500000000007</v>
      </c>
      <c r="E209" s="10">
        <v>6966.791000000002</v>
      </c>
      <c r="F209" s="10">
        <v>15028.208999999999</v>
      </c>
      <c r="G209" s="9"/>
      <c r="H209" s="29"/>
      <c r="I209" s="78"/>
      <c r="J209" s="79"/>
      <c r="K209" s="4"/>
      <c r="L209" s="4"/>
      <c r="M209" s="4"/>
      <c r="N209" s="4"/>
      <c r="O209" s="4"/>
      <c r="P209" s="4"/>
      <c r="Q209" s="4"/>
      <c r="R209" s="4"/>
      <c r="S209" s="4"/>
    </row>
    <row r="210" spans="1:19" s="1" customFormat="1" ht="12.6" customHeight="1">
      <c r="A210" s="11">
        <v>204</v>
      </c>
      <c r="B210" s="8" t="s">
        <v>2</v>
      </c>
      <c r="C210" s="9">
        <v>2</v>
      </c>
      <c r="D210" s="10">
        <v>33.404499999999999</v>
      </c>
      <c r="E210" s="10">
        <v>7000.1955000000016</v>
      </c>
      <c r="F210" s="10">
        <v>14994.804499999998</v>
      </c>
      <c r="G210" s="9"/>
      <c r="H210" s="29"/>
      <c r="I210" s="78"/>
      <c r="J210" s="79"/>
      <c r="K210" s="4"/>
      <c r="L210" s="4"/>
      <c r="M210" s="4"/>
      <c r="N210" s="4"/>
      <c r="O210" s="4"/>
      <c r="P210" s="4"/>
      <c r="Q210" s="4"/>
      <c r="R210" s="4"/>
      <c r="S210" s="4"/>
    </row>
    <row r="211" spans="1:19" s="1" customFormat="1" ht="12.6" customHeight="1">
      <c r="A211" s="11">
        <v>205</v>
      </c>
      <c r="B211" s="8" t="s">
        <v>2</v>
      </c>
      <c r="C211" s="9">
        <v>2</v>
      </c>
      <c r="D211" s="10">
        <v>33.534499999999994</v>
      </c>
      <c r="E211" s="10">
        <v>7033.7300000000014</v>
      </c>
      <c r="F211" s="10">
        <v>14961.269999999999</v>
      </c>
      <c r="G211" s="9"/>
      <c r="H211" s="29"/>
      <c r="I211" s="78"/>
      <c r="J211" s="79"/>
      <c r="K211" s="4"/>
      <c r="L211" s="4"/>
      <c r="M211" s="4"/>
      <c r="N211" s="4"/>
      <c r="O211" s="4"/>
      <c r="P211" s="4"/>
      <c r="Q211" s="4"/>
      <c r="R211" s="4"/>
      <c r="S211" s="4"/>
    </row>
    <row r="212" spans="1:19" s="1" customFormat="1" ht="12.6" customHeight="1">
      <c r="A212" s="11">
        <v>206</v>
      </c>
      <c r="B212" s="8" t="s">
        <v>2</v>
      </c>
      <c r="C212" s="9">
        <v>2</v>
      </c>
      <c r="D212" s="10">
        <v>33.244500000000002</v>
      </c>
      <c r="E212" s="10">
        <v>7066.9745000000012</v>
      </c>
      <c r="F212" s="10">
        <v>14928.0255</v>
      </c>
      <c r="G212" s="9"/>
      <c r="H212" s="29"/>
      <c r="I212" s="78"/>
      <c r="J212" s="79"/>
      <c r="K212" s="4"/>
      <c r="L212" s="4"/>
      <c r="M212" s="4"/>
      <c r="N212" s="4"/>
      <c r="O212" s="4"/>
      <c r="P212" s="4"/>
      <c r="Q212" s="4"/>
      <c r="R212" s="4"/>
      <c r="S212" s="4"/>
    </row>
    <row r="213" spans="1:19" s="1" customFormat="1" ht="14.45" customHeight="1">
      <c r="A213" s="11">
        <v>207</v>
      </c>
      <c r="B213" s="8" t="s">
        <v>2</v>
      </c>
      <c r="C213" s="9">
        <v>2</v>
      </c>
      <c r="D213" s="10">
        <v>33.534499999999994</v>
      </c>
      <c r="E213" s="10">
        <v>7100.5090000000009</v>
      </c>
      <c r="F213" s="10">
        <v>14894.490999999998</v>
      </c>
      <c r="G213" s="9"/>
      <c r="H213" s="29"/>
      <c r="I213" s="74" t="s">
        <v>18</v>
      </c>
      <c r="J213" s="75"/>
      <c r="K213" s="4"/>
      <c r="L213" s="4"/>
      <c r="M213" s="4"/>
      <c r="N213" s="4"/>
      <c r="O213" s="4"/>
      <c r="P213" s="4"/>
      <c r="Q213" s="4"/>
      <c r="R213" s="4"/>
      <c r="S213" s="4"/>
    </row>
    <row r="214" spans="1:19" s="1" customFormat="1" ht="14.45" customHeight="1">
      <c r="A214" s="11">
        <v>208</v>
      </c>
      <c r="B214" s="8" t="s">
        <v>2</v>
      </c>
      <c r="C214" s="9">
        <v>2</v>
      </c>
      <c r="D214" s="10">
        <v>33.534499999999994</v>
      </c>
      <c r="E214" s="10">
        <v>7134.0435000000007</v>
      </c>
      <c r="F214" s="10">
        <v>14860.9565</v>
      </c>
      <c r="G214" s="9"/>
      <c r="H214" s="29"/>
      <c r="I214" s="72" t="s">
        <v>41</v>
      </c>
      <c r="J214" s="73"/>
      <c r="K214" s="4"/>
      <c r="L214" s="4"/>
      <c r="M214" s="4"/>
      <c r="N214" s="4"/>
      <c r="O214" s="4"/>
      <c r="P214" s="4"/>
      <c r="Q214" s="4"/>
      <c r="R214" s="4"/>
      <c r="S214" s="4"/>
    </row>
    <row r="215" spans="1:19" s="1" customFormat="1" ht="14.45" customHeight="1">
      <c r="A215" s="11">
        <v>209</v>
      </c>
      <c r="B215" s="8" t="s">
        <v>2</v>
      </c>
      <c r="C215" s="9">
        <v>2</v>
      </c>
      <c r="D215" s="10">
        <v>33.244500000000002</v>
      </c>
      <c r="E215" s="10">
        <v>7167.2880000000005</v>
      </c>
      <c r="F215" s="10">
        <v>14827.712</v>
      </c>
      <c r="G215" s="9"/>
      <c r="H215" s="29"/>
      <c r="I215" s="72"/>
      <c r="J215" s="73"/>
      <c r="K215" s="4"/>
      <c r="L215" s="4"/>
      <c r="M215" s="4"/>
      <c r="N215" s="4"/>
      <c r="O215" s="4"/>
      <c r="P215" s="4"/>
      <c r="Q215" s="4"/>
      <c r="R215" s="4"/>
      <c r="S215" s="4"/>
    </row>
    <row r="216" spans="1:19" s="1" customFormat="1" ht="14.45" customHeight="1">
      <c r="A216" s="11">
        <v>210</v>
      </c>
      <c r="B216" s="8" t="s">
        <v>2</v>
      </c>
      <c r="C216" s="9">
        <v>2</v>
      </c>
      <c r="D216" s="10">
        <v>33.3245</v>
      </c>
      <c r="E216" s="10">
        <v>7200.6125000000002</v>
      </c>
      <c r="F216" s="10">
        <v>14794.387500000001</v>
      </c>
      <c r="G216" s="9"/>
      <c r="H216" s="29"/>
      <c r="I216" s="72"/>
      <c r="J216" s="73"/>
      <c r="K216" s="4"/>
      <c r="L216" s="4"/>
      <c r="M216" s="4"/>
      <c r="N216" s="4"/>
      <c r="O216" s="4"/>
      <c r="P216" s="4"/>
      <c r="Q216" s="4"/>
      <c r="R216" s="4"/>
      <c r="S216" s="4"/>
    </row>
    <row r="217" spans="1:19" s="1" customFormat="1" ht="12.6" customHeight="1">
      <c r="A217" s="11">
        <v>211</v>
      </c>
      <c r="B217" s="8" t="s">
        <v>2</v>
      </c>
      <c r="C217" s="9">
        <v>2</v>
      </c>
      <c r="D217" s="10">
        <v>33.534499999999994</v>
      </c>
      <c r="E217" s="10">
        <v>7234.1469999999999</v>
      </c>
      <c r="F217" s="10">
        <v>14760.852999999999</v>
      </c>
      <c r="G217" s="9"/>
      <c r="H217" s="29"/>
      <c r="I217" s="78"/>
      <c r="J217" s="79"/>
      <c r="K217" s="4"/>
      <c r="L217" s="4"/>
      <c r="M217" s="4"/>
      <c r="N217" s="4"/>
      <c r="O217" s="4"/>
      <c r="P217" s="4"/>
      <c r="Q217" s="4"/>
      <c r="R217" s="4"/>
      <c r="S217" s="4"/>
    </row>
    <row r="218" spans="1:19" s="1" customFormat="1" ht="12.6" customHeight="1">
      <c r="A218" s="11">
        <v>212</v>
      </c>
      <c r="B218" s="8" t="s">
        <v>2</v>
      </c>
      <c r="C218" s="9">
        <v>2</v>
      </c>
      <c r="D218" s="10">
        <v>33.514499999999998</v>
      </c>
      <c r="E218" s="10">
        <v>7267.6615000000002</v>
      </c>
      <c r="F218" s="10">
        <v>14727.3385</v>
      </c>
      <c r="G218" s="9"/>
      <c r="H218" s="29"/>
      <c r="I218" s="78"/>
      <c r="J218" s="79"/>
      <c r="K218" s="4"/>
      <c r="L218" s="4"/>
      <c r="M218" s="4"/>
      <c r="N218" s="4"/>
      <c r="O218" s="4"/>
      <c r="P218" s="4"/>
      <c r="Q218" s="4"/>
      <c r="R218" s="4"/>
      <c r="S218" s="4"/>
    </row>
    <row r="219" spans="1:19" s="1" customFormat="1" ht="12.6" customHeight="1">
      <c r="A219" s="11">
        <v>213</v>
      </c>
      <c r="B219" s="8" t="s">
        <v>2</v>
      </c>
      <c r="C219" s="9">
        <v>2</v>
      </c>
      <c r="D219" s="10">
        <v>33.534499999999994</v>
      </c>
      <c r="E219" s="10">
        <v>7301.1959999999999</v>
      </c>
      <c r="F219" s="10">
        <v>14693.804</v>
      </c>
      <c r="G219" s="9"/>
      <c r="H219" s="29"/>
      <c r="I219" s="78"/>
      <c r="J219" s="79"/>
      <c r="K219" s="4"/>
      <c r="L219" s="4"/>
      <c r="M219" s="4"/>
      <c r="N219" s="4"/>
      <c r="O219" s="4"/>
      <c r="P219" s="4"/>
      <c r="Q219" s="4"/>
      <c r="R219" s="4"/>
      <c r="S219" s="4"/>
    </row>
    <row r="220" spans="1:19" s="1" customFormat="1" ht="12.6" customHeight="1">
      <c r="A220" s="11">
        <v>214</v>
      </c>
      <c r="B220" s="8" t="s">
        <v>2</v>
      </c>
      <c r="C220" s="9">
        <v>2</v>
      </c>
      <c r="D220" s="10">
        <v>33.534499999999994</v>
      </c>
      <c r="E220" s="10">
        <v>7334.7304999999997</v>
      </c>
      <c r="F220" s="10">
        <v>14660.2695</v>
      </c>
      <c r="G220" s="9"/>
      <c r="H220" s="29"/>
      <c r="I220" s="78"/>
      <c r="J220" s="79"/>
      <c r="K220" s="4"/>
      <c r="L220" s="4"/>
      <c r="M220" s="4"/>
      <c r="N220" s="4"/>
      <c r="O220" s="4"/>
      <c r="P220" s="4"/>
      <c r="Q220" s="4"/>
      <c r="R220" s="4"/>
      <c r="S220" s="4"/>
    </row>
    <row r="221" spans="1:19" s="1" customFormat="1" ht="12.6" customHeight="1">
      <c r="A221" s="11">
        <v>215</v>
      </c>
      <c r="B221" s="8" t="s">
        <v>2</v>
      </c>
      <c r="C221" s="9">
        <v>2</v>
      </c>
      <c r="D221" s="10">
        <v>32.814499999999995</v>
      </c>
      <c r="E221" s="10">
        <v>7367.5450000000001</v>
      </c>
      <c r="F221" s="10">
        <v>14627.455</v>
      </c>
      <c r="G221" s="9"/>
      <c r="H221" s="29"/>
      <c r="I221" s="78"/>
      <c r="J221" s="79"/>
      <c r="K221" s="4"/>
      <c r="L221" s="4"/>
      <c r="M221" s="4"/>
      <c r="N221" s="4"/>
      <c r="O221" s="4"/>
      <c r="P221" s="4"/>
      <c r="Q221" s="4"/>
      <c r="R221" s="4"/>
      <c r="S221" s="4"/>
    </row>
    <row r="222" spans="1:19" s="1" customFormat="1" ht="12.6" customHeight="1">
      <c r="A222" s="11">
        <v>216</v>
      </c>
      <c r="B222" s="8" t="s">
        <v>3</v>
      </c>
      <c r="C222" s="9">
        <v>2</v>
      </c>
      <c r="D222" s="10">
        <v>33.534499999999994</v>
      </c>
      <c r="E222" s="10">
        <v>7401.0794999999998</v>
      </c>
      <c r="F222" s="10">
        <v>14593.9205</v>
      </c>
      <c r="G222" s="9"/>
      <c r="H222" s="29"/>
      <c r="I222" s="78"/>
      <c r="J222" s="79"/>
      <c r="K222" s="4"/>
      <c r="L222" s="4"/>
      <c r="M222" s="4"/>
      <c r="N222" s="4"/>
      <c r="O222" s="4"/>
      <c r="P222" s="4"/>
      <c r="Q222" s="4"/>
      <c r="R222" s="4"/>
      <c r="S222" s="4"/>
    </row>
    <row r="223" spans="1:19" s="1" customFormat="1" ht="12.6" customHeight="1">
      <c r="A223" s="11">
        <v>217</v>
      </c>
      <c r="B223" s="8" t="s">
        <v>2</v>
      </c>
      <c r="C223" s="9">
        <v>2</v>
      </c>
      <c r="D223" s="10">
        <v>33.264499999999998</v>
      </c>
      <c r="E223" s="10">
        <v>7434.3440000000001</v>
      </c>
      <c r="F223" s="10">
        <v>14560.655999999999</v>
      </c>
      <c r="G223" s="9"/>
      <c r="H223" s="29"/>
      <c r="I223" s="78"/>
      <c r="J223" s="79"/>
      <c r="K223" s="4"/>
      <c r="L223" s="4"/>
      <c r="M223" s="4"/>
      <c r="N223" s="4"/>
      <c r="O223" s="4"/>
      <c r="P223" s="4"/>
      <c r="Q223" s="4"/>
      <c r="R223" s="4"/>
      <c r="S223" s="4"/>
    </row>
    <row r="224" spans="1:19" s="1" customFormat="1" ht="12.6" customHeight="1">
      <c r="A224" s="11">
        <v>218</v>
      </c>
      <c r="B224" s="8" t="s">
        <v>2</v>
      </c>
      <c r="C224" s="9">
        <v>2</v>
      </c>
      <c r="D224" s="10">
        <v>33.044499999999999</v>
      </c>
      <c r="E224" s="10">
        <v>7467.3885</v>
      </c>
      <c r="F224" s="10">
        <v>14527.611499999999</v>
      </c>
      <c r="G224" s="9"/>
      <c r="H224" s="29"/>
      <c r="I224" s="78"/>
      <c r="J224" s="79"/>
      <c r="K224" s="4"/>
      <c r="L224" s="4"/>
      <c r="M224" s="4"/>
      <c r="N224" s="4"/>
      <c r="O224" s="4"/>
      <c r="P224" s="4"/>
      <c r="Q224" s="4"/>
      <c r="R224" s="4"/>
      <c r="S224" s="4"/>
    </row>
    <row r="225" spans="1:19" s="1" customFormat="1" ht="12.6" customHeight="1">
      <c r="A225" s="11">
        <v>219</v>
      </c>
      <c r="B225" s="8" t="s">
        <v>2</v>
      </c>
      <c r="C225" s="9">
        <v>2</v>
      </c>
      <c r="D225" s="10">
        <v>33.534499999999994</v>
      </c>
      <c r="E225" s="10">
        <v>7500.9229999999998</v>
      </c>
      <c r="F225" s="10">
        <v>14494.077000000001</v>
      </c>
      <c r="G225" s="9"/>
      <c r="H225" s="29"/>
      <c r="I225" s="78"/>
      <c r="J225" s="79"/>
      <c r="K225" s="4"/>
      <c r="L225" s="4"/>
      <c r="M225" s="4"/>
      <c r="N225" s="4"/>
      <c r="O225" s="4"/>
      <c r="P225" s="4"/>
      <c r="Q225" s="4"/>
      <c r="R225" s="4"/>
      <c r="S225" s="4"/>
    </row>
    <row r="226" spans="1:19" s="1" customFormat="1" ht="12.6" customHeight="1">
      <c r="A226" s="11">
        <v>220</v>
      </c>
      <c r="B226" s="8" t="s">
        <v>2</v>
      </c>
      <c r="C226" s="9">
        <v>2</v>
      </c>
      <c r="D226" s="10">
        <v>33.404499999999999</v>
      </c>
      <c r="E226" s="10">
        <v>7534.3274999999994</v>
      </c>
      <c r="F226" s="10">
        <v>14460.672500000001</v>
      </c>
      <c r="G226" s="9"/>
      <c r="H226" s="29"/>
      <c r="I226" s="78"/>
      <c r="J226" s="79"/>
      <c r="K226" s="4"/>
      <c r="L226" s="4"/>
      <c r="M226" s="4"/>
      <c r="N226" s="4"/>
      <c r="O226" s="4"/>
      <c r="P226" s="4"/>
      <c r="Q226" s="4"/>
      <c r="R226" s="4"/>
      <c r="S226" s="4"/>
    </row>
    <row r="227" spans="1:19" s="1" customFormat="1" ht="12.6" customHeight="1">
      <c r="A227" s="11">
        <v>221</v>
      </c>
      <c r="B227" s="8" t="s">
        <v>2</v>
      </c>
      <c r="C227" s="9">
        <v>2</v>
      </c>
      <c r="D227" s="10">
        <v>33.534499999999994</v>
      </c>
      <c r="E227" s="10">
        <v>7567.8619999999992</v>
      </c>
      <c r="F227" s="10">
        <v>14427.138000000001</v>
      </c>
      <c r="G227" s="9"/>
      <c r="H227" s="29"/>
      <c r="I227" s="78"/>
      <c r="J227" s="79"/>
      <c r="K227" s="4"/>
      <c r="L227" s="4"/>
      <c r="M227" s="4"/>
      <c r="N227" s="4"/>
      <c r="O227" s="4"/>
      <c r="P227" s="4"/>
      <c r="Q227" s="4"/>
      <c r="R227" s="4"/>
      <c r="S227" s="4"/>
    </row>
    <row r="228" spans="1:19" s="1" customFormat="1" ht="12.6" customHeight="1">
      <c r="A228" s="11">
        <v>222</v>
      </c>
      <c r="B228" s="8" t="s">
        <v>2</v>
      </c>
      <c r="C228" s="9">
        <v>2</v>
      </c>
      <c r="D228" s="10">
        <v>33.544499999999999</v>
      </c>
      <c r="E228" s="10">
        <v>7601.4064999999991</v>
      </c>
      <c r="F228" s="10">
        <v>14393.593500000001</v>
      </c>
      <c r="G228" s="9"/>
      <c r="H228" s="29"/>
      <c r="I228" s="78"/>
      <c r="J228" s="79"/>
      <c r="K228" s="4"/>
      <c r="L228" s="4"/>
      <c r="M228" s="4"/>
      <c r="N228" s="4"/>
      <c r="O228" s="4"/>
      <c r="P228" s="4"/>
      <c r="Q228" s="4"/>
      <c r="R228" s="4"/>
      <c r="S228" s="4"/>
    </row>
    <row r="229" spans="1:19" s="1" customFormat="1" ht="12.6" customHeight="1">
      <c r="A229" s="11">
        <v>223</v>
      </c>
      <c r="B229" s="8" t="s">
        <v>2</v>
      </c>
      <c r="C229" s="9">
        <v>2</v>
      </c>
      <c r="D229" s="10">
        <v>33.534499999999994</v>
      </c>
      <c r="E229" s="10">
        <v>7634.9409999999989</v>
      </c>
      <c r="F229" s="10">
        <v>14360.059000000001</v>
      </c>
      <c r="G229" s="9"/>
      <c r="H229" s="29"/>
      <c r="I229" s="78"/>
      <c r="J229" s="79"/>
      <c r="K229" s="4"/>
      <c r="L229" s="4"/>
      <c r="M229" s="4"/>
      <c r="N229" s="4"/>
      <c r="O229" s="4"/>
      <c r="P229" s="4"/>
      <c r="Q229" s="4"/>
      <c r="R229" s="4"/>
      <c r="S229" s="4"/>
    </row>
    <row r="230" spans="1:19" s="1" customFormat="1" ht="12.6" customHeight="1">
      <c r="A230" s="11">
        <v>224</v>
      </c>
      <c r="B230" s="8" t="s">
        <v>2</v>
      </c>
      <c r="C230" s="9">
        <v>2</v>
      </c>
      <c r="D230" s="10">
        <v>33.534499999999994</v>
      </c>
      <c r="E230" s="10">
        <v>7668.4754999999986</v>
      </c>
      <c r="F230" s="10">
        <v>14326.524500000001</v>
      </c>
      <c r="G230" s="9"/>
      <c r="H230" s="29"/>
      <c r="I230" s="78"/>
      <c r="J230" s="79"/>
      <c r="K230" s="4"/>
      <c r="L230" s="4"/>
      <c r="M230" s="4"/>
      <c r="N230" s="4"/>
      <c r="O230" s="4"/>
      <c r="P230" s="4"/>
      <c r="Q230" s="4"/>
      <c r="R230" s="4"/>
      <c r="S230" s="4"/>
    </row>
    <row r="231" spans="1:19" s="1" customFormat="1" ht="12.6" customHeight="1">
      <c r="A231" s="11">
        <v>225</v>
      </c>
      <c r="B231" s="8" t="s">
        <v>2</v>
      </c>
      <c r="C231" s="9">
        <v>2</v>
      </c>
      <c r="D231" s="10">
        <v>33.524500000000003</v>
      </c>
      <c r="E231" s="10">
        <v>7701.9999999999991</v>
      </c>
      <c r="F231" s="10">
        <v>14293</v>
      </c>
      <c r="G231" s="9"/>
      <c r="H231" s="29"/>
      <c r="I231" s="78"/>
      <c r="J231" s="79"/>
      <c r="K231" s="4"/>
      <c r="L231" s="4"/>
      <c r="M231" s="4"/>
      <c r="N231" s="4"/>
      <c r="O231" s="4"/>
      <c r="P231" s="4"/>
      <c r="Q231" s="4"/>
      <c r="R231" s="4"/>
      <c r="S231" s="4"/>
    </row>
    <row r="232" spans="1:19" s="1" customFormat="1" ht="12.6" customHeight="1">
      <c r="A232" s="11">
        <v>226</v>
      </c>
      <c r="B232" s="8" t="s">
        <v>2</v>
      </c>
      <c r="C232" s="9">
        <v>2</v>
      </c>
      <c r="D232" s="10">
        <v>33.524500000000003</v>
      </c>
      <c r="E232" s="10">
        <v>7735.5244999999995</v>
      </c>
      <c r="F232" s="10">
        <v>14259.4755</v>
      </c>
      <c r="G232" s="9"/>
      <c r="H232" s="29"/>
      <c r="I232" s="78"/>
      <c r="J232" s="79"/>
      <c r="K232" s="4"/>
      <c r="L232" s="4"/>
      <c r="M232" s="4"/>
      <c r="N232" s="4"/>
      <c r="O232" s="4"/>
      <c r="P232" s="4"/>
      <c r="Q232" s="4"/>
      <c r="R232" s="4"/>
      <c r="S232" s="4"/>
    </row>
    <row r="233" spans="1:19" s="1" customFormat="1" ht="12.6" customHeight="1">
      <c r="A233" s="11">
        <v>227</v>
      </c>
      <c r="B233" s="8" t="s">
        <v>2</v>
      </c>
      <c r="C233" s="9">
        <v>2</v>
      </c>
      <c r="D233" s="10">
        <v>33.334500000000006</v>
      </c>
      <c r="E233" s="10">
        <v>7768.8589999999995</v>
      </c>
      <c r="F233" s="10">
        <v>14226.141</v>
      </c>
      <c r="G233" s="9"/>
      <c r="H233" s="29"/>
      <c r="I233" s="78"/>
      <c r="J233" s="79"/>
      <c r="K233" s="4"/>
      <c r="L233" s="4"/>
      <c r="M233" s="4"/>
      <c r="N233" s="4"/>
      <c r="O233" s="4"/>
      <c r="P233" s="4"/>
      <c r="Q233" s="4"/>
      <c r="R233" s="4"/>
      <c r="S233" s="4"/>
    </row>
    <row r="234" spans="1:19" s="1" customFormat="1" ht="12.6" customHeight="1">
      <c r="A234" s="11">
        <v>228</v>
      </c>
      <c r="B234" s="8" t="s">
        <v>2</v>
      </c>
      <c r="C234" s="9">
        <v>2</v>
      </c>
      <c r="D234" s="10">
        <v>33.524500000000003</v>
      </c>
      <c r="E234" s="10">
        <v>7802.3834999999999</v>
      </c>
      <c r="F234" s="10">
        <v>14192.6165</v>
      </c>
      <c r="G234" s="9"/>
      <c r="H234" s="29"/>
      <c r="I234" s="78"/>
      <c r="J234" s="79"/>
      <c r="K234" s="4"/>
      <c r="L234" s="4"/>
      <c r="M234" s="4"/>
      <c r="N234" s="4"/>
      <c r="O234" s="4"/>
      <c r="P234" s="4"/>
      <c r="Q234" s="4"/>
      <c r="R234" s="4"/>
      <c r="S234" s="4"/>
    </row>
    <row r="235" spans="1:19" s="1" customFormat="1" ht="12.6" customHeight="1">
      <c r="A235" s="11">
        <v>229</v>
      </c>
      <c r="B235" s="8" t="s">
        <v>2</v>
      </c>
      <c r="C235" s="9">
        <v>2</v>
      </c>
      <c r="D235" s="10">
        <v>33.534499999999994</v>
      </c>
      <c r="E235" s="10">
        <v>7835.9179999999997</v>
      </c>
      <c r="F235" s="10">
        <v>14159.082</v>
      </c>
      <c r="G235" s="9"/>
      <c r="H235" s="29"/>
      <c r="I235" s="78"/>
      <c r="J235" s="79"/>
      <c r="K235" s="4"/>
      <c r="L235" s="4"/>
      <c r="M235" s="4"/>
      <c r="N235" s="4"/>
      <c r="O235" s="4"/>
      <c r="P235" s="4"/>
      <c r="Q235" s="4"/>
      <c r="R235" s="4"/>
      <c r="S235" s="4"/>
    </row>
    <row r="236" spans="1:19" s="1" customFormat="1" ht="12.6" customHeight="1">
      <c r="A236" s="11">
        <v>230</v>
      </c>
      <c r="B236" s="8" t="s">
        <v>2</v>
      </c>
      <c r="C236" s="9">
        <v>2</v>
      </c>
      <c r="D236" s="10">
        <v>32.984499999999997</v>
      </c>
      <c r="E236" s="10">
        <v>7868.9024999999992</v>
      </c>
      <c r="F236" s="10">
        <v>14126.0975</v>
      </c>
      <c r="G236" s="9"/>
      <c r="H236" s="29"/>
      <c r="I236" s="78"/>
      <c r="J236" s="79"/>
      <c r="K236" s="4"/>
      <c r="L236" s="4"/>
      <c r="M236" s="4"/>
      <c r="N236" s="4"/>
      <c r="O236" s="4"/>
      <c r="P236" s="4"/>
      <c r="Q236" s="4"/>
      <c r="R236" s="4"/>
      <c r="S236" s="4"/>
    </row>
    <row r="237" spans="1:19" s="1" customFormat="1" ht="12.6" customHeight="1">
      <c r="A237" s="11">
        <v>231</v>
      </c>
      <c r="B237" s="8" t="s">
        <v>2</v>
      </c>
      <c r="C237" s="9">
        <v>2</v>
      </c>
      <c r="D237" s="10">
        <v>33.394499999999994</v>
      </c>
      <c r="E237" s="10">
        <v>7902.2969999999996</v>
      </c>
      <c r="F237" s="10">
        <v>14092.703000000001</v>
      </c>
      <c r="G237" s="9"/>
      <c r="H237" s="29"/>
      <c r="I237" s="78"/>
      <c r="J237" s="79"/>
      <c r="K237" s="4"/>
      <c r="L237" s="4"/>
      <c r="M237" s="4"/>
      <c r="N237" s="4"/>
      <c r="O237" s="4"/>
      <c r="P237" s="4"/>
      <c r="Q237" s="4"/>
      <c r="R237" s="4"/>
      <c r="S237" s="4"/>
    </row>
    <row r="238" spans="1:19" s="1" customFormat="1" ht="13.5" customHeight="1">
      <c r="A238" s="98" t="s">
        <v>5</v>
      </c>
      <c r="B238" s="99"/>
      <c r="C238" s="56" t="s">
        <v>1</v>
      </c>
      <c r="D238" s="7">
        <v>33.544499999999999</v>
      </c>
      <c r="E238" s="7">
        <v>7935.8414999999995</v>
      </c>
      <c r="F238" s="7">
        <v>14059.158500000001</v>
      </c>
      <c r="G238" s="31"/>
      <c r="H238" s="32"/>
      <c r="I238" s="78"/>
      <c r="J238" s="79"/>
      <c r="K238" s="4"/>
      <c r="L238" s="4"/>
      <c r="M238" s="4"/>
      <c r="N238" s="4"/>
      <c r="O238" s="4"/>
      <c r="P238" s="4"/>
      <c r="Q238" s="4"/>
      <c r="R238" s="4"/>
      <c r="S238" s="4"/>
    </row>
    <row r="239" spans="1:19" s="1" customFormat="1" ht="21" customHeight="1">
      <c r="A239" s="98"/>
      <c r="B239" s="99"/>
      <c r="C239" s="56" t="s">
        <v>1</v>
      </c>
      <c r="D239" s="7">
        <v>4.25</v>
      </c>
      <c r="E239" s="7">
        <v>7940.0914999999995</v>
      </c>
      <c r="F239" s="7">
        <v>14054.908500000001</v>
      </c>
      <c r="G239" s="31"/>
      <c r="H239" s="32"/>
      <c r="I239" s="78"/>
      <c r="J239" s="79"/>
      <c r="K239" s="4"/>
      <c r="L239" s="4"/>
      <c r="M239" s="4"/>
      <c r="N239" s="4"/>
      <c r="O239" s="4"/>
      <c r="P239" s="4"/>
      <c r="Q239" s="4"/>
      <c r="R239" s="4"/>
      <c r="S239" s="4"/>
    </row>
    <row r="240" spans="1:19" s="1" customFormat="1" ht="12.95" customHeight="1">
      <c r="A240" s="13">
        <v>232</v>
      </c>
      <c r="B240" s="14" t="s">
        <v>4</v>
      </c>
      <c r="C240" s="15">
        <v>2</v>
      </c>
      <c r="D240" s="16">
        <v>35.9925</v>
      </c>
      <c r="E240" s="16">
        <v>7976.0839999999998</v>
      </c>
      <c r="F240" s="16">
        <v>14018.916000000001</v>
      </c>
      <c r="G240" s="33"/>
      <c r="H240" s="34"/>
      <c r="I240" s="78"/>
      <c r="J240" s="79"/>
      <c r="K240" s="4"/>
      <c r="L240" s="4"/>
      <c r="M240" s="4"/>
      <c r="N240" s="4"/>
      <c r="O240" s="4"/>
      <c r="P240" s="4"/>
      <c r="Q240" s="4"/>
      <c r="R240" s="4"/>
      <c r="S240" s="4"/>
    </row>
    <row r="241" spans="1:19" s="1" customFormat="1" ht="12.95" customHeight="1">
      <c r="A241" s="13">
        <v>233</v>
      </c>
      <c r="B241" s="14" t="s">
        <v>4</v>
      </c>
      <c r="C241" s="15">
        <v>2</v>
      </c>
      <c r="D241" s="16">
        <v>36.722500000000004</v>
      </c>
      <c r="E241" s="16">
        <v>8012.8064999999997</v>
      </c>
      <c r="F241" s="16">
        <v>13982.193500000001</v>
      </c>
      <c r="G241" s="33"/>
      <c r="H241" s="34"/>
      <c r="I241" s="78"/>
      <c r="J241" s="79"/>
      <c r="K241" s="4"/>
      <c r="L241" s="4"/>
      <c r="M241" s="4"/>
      <c r="N241" s="4"/>
      <c r="O241" s="4"/>
      <c r="P241" s="4"/>
      <c r="Q241" s="4"/>
      <c r="R241" s="4"/>
      <c r="S241" s="4"/>
    </row>
    <row r="242" spans="1:19" s="1" customFormat="1" ht="12.95" customHeight="1">
      <c r="A242" s="13">
        <v>234</v>
      </c>
      <c r="B242" s="14" t="s">
        <v>4</v>
      </c>
      <c r="C242" s="15">
        <v>2</v>
      </c>
      <c r="D242" s="16">
        <v>36.042500000000004</v>
      </c>
      <c r="E242" s="16">
        <v>8048.8489999999993</v>
      </c>
      <c r="F242" s="16">
        <v>13946.151000000002</v>
      </c>
      <c r="G242" s="33"/>
      <c r="H242" s="34"/>
      <c r="I242" s="78"/>
      <c r="J242" s="79"/>
      <c r="K242" s="4"/>
      <c r="L242" s="4"/>
      <c r="M242" s="4"/>
      <c r="N242" s="4"/>
      <c r="O242" s="4"/>
      <c r="P242" s="4"/>
      <c r="Q242" s="4"/>
      <c r="R242" s="4"/>
      <c r="S242" s="4"/>
    </row>
    <row r="243" spans="1:19" s="1" customFormat="1" ht="12.95" customHeight="1">
      <c r="A243" s="13">
        <v>235</v>
      </c>
      <c r="B243" s="14" t="s">
        <v>4</v>
      </c>
      <c r="C243" s="15">
        <v>2</v>
      </c>
      <c r="D243" s="16">
        <v>36.042500000000004</v>
      </c>
      <c r="E243" s="16">
        <v>8084.8914999999988</v>
      </c>
      <c r="F243" s="16">
        <v>13910.108500000002</v>
      </c>
      <c r="G243" s="33"/>
      <c r="H243" s="34"/>
      <c r="I243" s="78"/>
      <c r="J243" s="79"/>
      <c r="K243" s="4"/>
      <c r="L243" s="4"/>
      <c r="M243" s="4"/>
      <c r="N243" s="4"/>
      <c r="O243" s="4"/>
      <c r="P243" s="4"/>
      <c r="Q243" s="4"/>
      <c r="R243" s="4"/>
      <c r="S243" s="4"/>
    </row>
    <row r="244" spans="1:19" s="1" customFormat="1" ht="12.95" customHeight="1">
      <c r="A244" s="13">
        <v>236</v>
      </c>
      <c r="B244" s="14" t="s">
        <v>4</v>
      </c>
      <c r="C244" s="15">
        <v>2</v>
      </c>
      <c r="D244" s="16">
        <v>36.162500000000001</v>
      </c>
      <c r="E244" s="16">
        <v>8121.0539999999992</v>
      </c>
      <c r="F244" s="16">
        <v>13873.946</v>
      </c>
      <c r="G244" s="33"/>
      <c r="H244" s="34"/>
      <c r="I244" s="78"/>
      <c r="J244" s="79"/>
      <c r="K244" s="4"/>
      <c r="L244" s="4"/>
      <c r="M244" s="4"/>
      <c r="N244" s="4"/>
      <c r="O244" s="4"/>
      <c r="P244" s="4"/>
      <c r="Q244" s="4"/>
      <c r="R244" s="4"/>
      <c r="S244" s="4"/>
    </row>
    <row r="245" spans="1:19" s="1" customFormat="1" ht="12.95" customHeight="1">
      <c r="A245" s="13">
        <v>237</v>
      </c>
      <c r="B245" s="14" t="s">
        <v>4</v>
      </c>
      <c r="C245" s="15">
        <v>2</v>
      </c>
      <c r="D245" s="16">
        <v>36.682500000000005</v>
      </c>
      <c r="E245" s="16">
        <v>8157.7364999999991</v>
      </c>
      <c r="F245" s="16">
        <v>13837.263500000001</v>
      </c>
      <c r="G245" s="33"/>
      <c r="H245" s="34"/>
      <c r="I245" s="78"/>
      <c r="J245" s="79"/>
      <c r="K245" s="4"/>
      <c r="L245" s="4"/>
      <c r="M245" s="4"/>
      <c r="N245" s="4"/>
      <c r="O245" s="4"/>
      <c r="P245" s="4"/>
      <c r="Q245" s="4"/>
      <c r="R245" s="4"/>
      <c r="S245" s="4"/>
    </row>
    <row r="246" spans="1:19" s="1" customFormat="1" ht="12.95" customHeight="1">
      <c r="A246" s="13">
        <v>238</v>
      </c>
      <c r="B246" s="14" t="s">
        <v>4</v>
      </c>
      <c r="C246" s="15">
        <v>2</v>
      </c>
      <c r="D246" s="16">
        <v>36.432500000000005</v>
      </c>
      <c r="E246" s="16">
        <v>8194.1689999999999</v>
      </c>
      <c r="F246" s="16">
        <v>13800.831</v>
      </c>
      <c r="G246" s="33"/>
      <c r="H246" s="34"/>
      <c r="I246" s="78"/>
      <c r="J246" s="79"/>
      <c r="K246" s="4"/>
      <c r="L246" s="4"/>
      <c r="M246" s="4"/>
      <c r="N246" s="4"/>
      <c r="O246" s="4"/>
      <c r="P246" s="4"/>
      <c r="Q246" s="4"/>
      <c r="R246" s="4"/>
      <c r="S246" s="4"/>
    </row>
    <row r="247" spans="1:19" s="1" customFormat="1" ht="12.95" customHeight="1">
      <c r="A247" s="13">
        <v>239</v>
      </c>
      <c r="B247" s="14" t="s">
        <v>4</v>
      </c>
      <c r="C247" s="15">
        <v>2</v>
      </c>
      <c r="D247" s="16">
        <v>36.042500000000004</v>
      </c>
      <c r="E247" s="16">
        <v>8230.2114999999994</v>
      </c>
      <c r="F247" s="16">
        <v>13764.788500000001</v>
      </c>
      <c r="G247" s="33"/>
      <c r="H247" s="34"/>
      <c r="I247" s="78"/>
      <c r="J247" s="79"/>
      <c r="K247" s="4"/>
      <c r="L247" s="4"/>
      <c r="M247" s="4"/>
      <c r="N247" s="4"/>
      <c r="O247" s="4"/>
      <c r="P247" s="4"/>
      <c r="Q247" s="4"/>
      <c r="R247" s="4"/>
      <c r="S247" s="4"/>
    </row>
    <row r="248" spans="1:19" s="1" customFormat="1" ht="12.95" customHeight="1">
      <c r="A248" s="13">
        <v>240</v>
      </c>
      <c r="B248" s="14" t="s">
        <v>4</v>
      </c>
      <c r="C248" s="15">
        <v>2</v>
      </c>
      <c r="D248" s="16">
        <v>36.282499999999999</v>
      </c>
      <c r="E248" s="16">
        <v>8266.4939999999988</v>
      </c>
      <c r="F248" s="16">
        <v>13728.506000000001</v>
      </c>
      <c r="G248" s="33"/>
      <c r="H248" s="34"/>
      <c r="I248" s="78"/>
      <c r="J248" s="79"/>
      <c r="K248" s="4"/>
      <c r="L248" s="4"/>
      <c r="M248" s="4"/>
      <c r="N248" s="4"/>
      <c r="O248" s="4"/>
      <c r="P248" s="4"/>
      <c r="Q248" s="4"/>
      <c r="R248" s="4"/>
      <c r="S248" s="4"/>
    </row>
    <row r="249" spans="1:19" s="1" customFormat="1" ht="12.95" customHeight="1">
      <c r="A249" s="13">
        <v>241</v>
      </c>
      <c r="B249" s="14" t="s">
        <v>4</v>
      </c>
      <c r="C249" s="15">
        <v>2</v>
      </c>
      <c r="D249" s="16">
        <v>35.4925</v>
      </c>
      <c r="E249" s="16">
        <v>8301.9864999999991</v>
      </c>
      <c r="F249" s="16">
        <v>13693.013500000001</v>
      </c>
      <c r="G249" s="33"/>
      <c r="H249" s="34"/>
      <c r="I249" s="78"/>
      <c r="J249" s="79"/>
      <c r="K249" s="4"/>
      <c r="L249" s="4"/>
      <c r="M249" s="4"/>
      <c r="N249" s="4"/>
      <c r="O249" s="4"/>
      <c r="P249" s="4"/>
      <c r="Q249" s="4"/>
      <c r="R249" s="4"/>
      <c r="S249" s="4"/>
    </row>
    <row r="250" spans="1:19" s="1" customFormat="1" ht="12.95" customHeight="1">
      <c r="A250" s="13">
        <v>242</v>
      </c>
      <c r="B250" s="14" t="s">
        <v>4</v>
      </c>
      <c r="C250" s="15">
        <v>2</v>
      </c>
      <c r="D250" s="16">
        <v>36.0625</v>
      </c>
      <c r="E250" s="16">
        <v>8338.0489999999991</v>
      </c>
      <c r="F250" s="16">
        <v>13656.951000000001</v>
      </c>
      <c r="G250" s="33"/>
      <c r="H250" s="34"/>
      <c r="I250" s="78"/>
      <c r="J250" s="79"/>
      <c r="K250" s="4"/>
      <c r="L250" s="4"/>
      <c r="M250" s="4"/>
      <c r="N250" s="4"/>
      <c r="O250" s="4"/>
      <c r="P250" s="4"/>
      <c r="Q250" s="4"/>
      <c r="R250" s="4"/>
      <c r="S250" s="4"/>
    </row>
    <row r="251" spans="1:19" s="1" customFormat="1" ht="12.95" customHeight="1">
      <c r="A251" s="13">
        <v>243</v>
      </c>
      <c r="B251" s="14" t="s">
        <v>4</v>
      </c>
      <c r="C251" s="15">
        <v>2</v>
      </c>
      <c r="D251" s="16">
        <v>35.732500000000002</v>
      </c>
      <c r="E251" s="16">
        <v>8373.7814999999991</v>
      </c>
      <c r="F251" s="16">
        <v>13621.218500000001</v>
      </c>
      <c r="G251" s="33"/>
      <c r="H251" s="34"/>
      <c r="I251" s="78"/>
      <c r="J251" s="79"/>
      <c r="K251" s="4"/>
      <c r="L251" s="4"/>
      <c r="M251" s="4"/>
      <c r="N251" s="4"/>
      <c r="O251" s="4"/>
      <c r="P251" s="4"/>
      <c r="Q251" s="4"/>
      <c r="R251" s="4"/>
      <c r="S251" s="4"/>
    </row>
    <row r="252" spans="1:19" s="1" customFormat="1" ht="12.95" customHeight="1">
      <c r="A252" s="13">
        <v>244</v>
      </c>
      <c r="B252" s="14" t="s">
        <v>4</v>
      </c>
      <c r="C252" s="15">
        <v>2</v>
      </c>
      <c r="D252" s="16">
        <v>36.302500000000002</v>
      </c>
      <c r="E252" s="16">
        <v>8410.0839999999989</v>
      </c>
      <c r="F252" s="16">
        <v>13584.916000000001</v>
      </c>
      <c r="G252" s="33"/>
      <c r="H252" s="34"/>
      <c r="I252" s="78"/>
      <c r="J252" s="79"/>
      <c r="K252" s="4"/>
      <c r="L252" s="4"/>
      <c r="M252" s="4"/>
      <c r="N252" s="4"/>
      <c r="O252" s="4"/>
      <c r="P252" s="4"/>
      <c r="Q252" s="4"/>
      <c r="R252" s="4"/>
      <c r="S252" s="4"/>
    </row>
    <row r="253" spans="1:19" s="1" customFormat="1" ht="12.95" customHeight="1">
      <c r="A253" s="13">
        <v>245</v>
      </c>
      <c r="B253" s="14" t="s">
        <v>4</v>
      </c>
      <c r="C253" s="15">
        <v>2</v>
      </c>
      <c r="D253" s="16">
        <v>35.832500000000003</v>
      </c>
      <c r="E253" s="16">
        <v>8445.9164999999994</v>
      </c>
      <c r="F253" s="16">
        <v>13549.083500000001</v>
      </c>
      <c r="G253" s="33"/>
      <c r="H253" s="34"/>
      <c r="I253" s="78"/>
      <c r="J253" s="79"/>
      <c r="K253" s="4"/>
      <c r="L253" s="4"/>
      <c r="M253" s="4"/>
      <c r="N253" s="4"/>
      <c r="O253" s="4"/>
      <c r="P253" s="4"/>
      <c r="Q253" s="4"/>
      <c r="R253" s="4"/>
      <c r="S253" s="4"/>
    </row>
    <row r="254" spans="1:19" s="1" customFormat="1" ht="12.95" customHeight="1">
      <c r="A254" s="13">
        <v>246</v>
      </c>
      <c r="B254" s="14" t="s">
        <v>4</v>
      </c>
      <c r="C254" s="15">
        <v>2</v>
      </c>
      <c r="D254" s="16">
        <v>35.6325</v>
      </c>
      <c r="E254" s="16">
        <v>8481.5489999999991</v>
      </c>
      <c r="F254" s="16">
        <v>13513.451000000001</v>
      </c>
      <c r="G254" s="33"/>
      <c r="H254" s="34"/>
      <c r="I254" s="78"/>
      <c r="J254" s="79"/>
      <c r="K254" s="4"/>
      <c r="L254" s="4"/>
      <c r="M254" s="4"/>
      <c r="N254" s="4"/>
      <c r="O254" s="4"/>
      <c r="P254" s="4"/>
      <c r="Q254" s="4"/>
      <c r="R254" s="4"/>
      <c r="S254" s="4"/>
    </row>
    <row r="255" spans="1:19" s="1" customFormat="1" ht="12.95" customHeight="1">
      <c r="A255" s="13">
        <v>247</v>
      </c>
      <c r="B255" s="14" t="s">
        <v>4</v>
      </c>
      <c r="C255" s="15">
        <v>2</v>
      </c>
      <c r="D255" s="16">
        <v>36.362500000000004</v>
      </c>
      <c r="E255" s="16">
        <v>8517.9114999999983</v>
      </c>
      <c r="F255" s="16">
        <v>13477.088500000002</v>
      </c>
      <c r="G255" s="33"/>
      <c r="H255" s="34"/>
      <c r="I255" s="78"/>
      <c r="J255" s="79"/>
      <c r="K255" s="4"/>
      <c r="L255" s="4"/>
      <c r="M255" s="4"/>
      <c r="N255" s="4"/>
      <c r="O255" s="4"/>
      <c r="P255" s="4"/>
      <c r="Q255" s="4"/>
      <c r="R255" s="4"/>
      <c r="S255" s="4"/>
    </row>
    <row r="256" spans="1:19" s="1" customFormat="1" ht="12.95" customHeight="1">
      <c r="A256" s="13">
        <v>248</v>
      </c>
      <c r="B256" s="14" t="s">
        <v>4</v>
      </c>
      <c r="C256" s="15">
        <v>2</v>
      </c>
      <c r="D256" s="16">
        <v>36.792500000000004</v>
      </c>
      <c r="E256" s="16">
        <v>8554.7039999999979</v>
      </c>
      <c r="F256" s="16">
        <v>13440.296000000002</v>
      </c>
      <c r="G256" s="33"/>
      <c r="H256" s="34"/>
      <c r="I256" s="78"/>
      <c r="J256" s="79"/>
      <c r="K256" s="4"/>
      <c r="L256" s="4"/>
      <c r="M256" s="4"/>
      <c r="N256" s="4"/>
      <c r="O256" s="4"/>
      <c r="P256" s="4"/>
      <c r="Q256" s="4"/>
      <c r="R256" s="4"/>
      <c r="S256" s="4"/>
    </row>
    <row r="257" spans="1:19" s="1" customFormat="1" ht="12.95" customHeight="1">
      <c r="A257" s="13">
        <v>249</v>
      </c>
      <c r="B257" s="14" t="s">
        <v>4</v>
      </c>
      <c r="C257" s="15">
        <v>2</v>
      </c>
      <c r="D257" s="16">
        <v>35.322499999999998</v>
      </c>
      <c r="E257" s="16">
        <v>8590.0264999999981</v>
      </c>
      <c r="F257" s="16">
        <v>13404.973500000002</v>
      </c>
      <c r="G257" s="33"/>
      <c r="H257" s="34"/>
      <c r="I257" s="78"/>
      <c r="J257" s="79"/>
      <c r="K257" s="4"/>
      <c r="L257" s="4"/>
      <c r="M257" s="4"/>
      <c r="N257" s="4"/>
      <c r="O257" s="4"/>
      <c r="P257" s="4"/>
      <c r="Q257" s="4"/>
      <c r="R257" s="4"/>
      <c r="S257" s="4"/>
    </row>
    <row r="258" spans="1:19" s="1" customFormat="1" ht="12.95" customHeight="1">
      <c r="A258" s="13">
        <v>250</v>
      </c>
      <c r="B258" s="14" t="s">
        <v>4</v>
      </c>
      <c r="C258" s="15">
        <v>2</v>
      </c>
      <c r="D258" s="16">
        <v>36.402500000000003</v>
      </c>
      <c r="E258" s="16">
        <v>8626.4289999999983</v>
      </c>
      <c r="F258" s="16">
        <v>13368.571000000002</v>
      </c>
      <c r="G258" s="33"/>
      <c r="H258" s="34"/>
      <c r="I258" s="78"/>
      <c r="J258" s="79"/>
      <c r="K258" s="4"/>
      <c r="L258" s="4"/>
      <c r="M258" s="4"/>
      <c r="N258" s="4"/>
      <c r="O258" s="4"/>
      <c r="P258" s="4"/>
      <c r="Q258" s="4"/>
      <c r="R258" s="4"/>
      <c r="S258" s="4"/>
    </row>
    <row r="259" spans="1:19" s="1" customFormat="1" ht="12.95" customHeight="1">
      <c r="A259" s="13">
        <v>251</v>
      </c>
      <c r="B259" s="14" t="s">
        <v>4</v>
      </c>
      <c r="C259" s="15">
        <v>2</v>
      </c>
      <c r="D259" s="16">
        <v>34.052500000000002</v>
      </c>
      <c r="E259" s="16">
        <v>8660.4814999999981</v>
      </c>
      <c r="F259" s="16">
        <v>13334.518500000002</v>
      </c>
      <c r="G259" s="33"/>
      <c r="H259" s="34"/>
      <c r="I259" s="78"/>
      <c r="J259" s="79"/>
      <c r="K259" s="4"/>
      <c r="L259" s="4"/>
      <c r="M259" s="4"/>
      <c r="N259" s="4"/>
      <c r="O259" s="4"/>
      <c r="P259" s="4"/>
      <c r="Q259" s="4"/>
      <c r="R259" s="4"/>
      <c r="S259" s="4"/>
    </row>
    <row r="260" spans="1:19" s="1" customFormat="1" ht="12.95" customHeight="1">
      <c r="A260" s="13">
        <v>252</v>
      </c>
      <c r="B260" s="14" t="s">
        <v>4</v>
      </c>
      <c r="C260" s="15">
        <v>2</v>
      </c>
      <c r="D260" s="16">
        <v>36.182500000000005</v>
      </c>
      <c r="E260" s="16">
        <v>8696.6639999999989</v>
      </c>
      <c r="F260" s="16">
        <v>13298.336000000001</v>
      </c>
      <c r="G260" s="33"/>
      <c r="H260" s="34"/>
      <c r="I260" s="78"/>
      <c r="J260" s="79"/>
      <c r="K260" s="4"/>
      <c r="L260" s="4"/>
      <c r="M260" s="4"/>
      <c r="N260" s="4"/>
      <c r="O260" s="4"/>
      <c r="P260" s="4"/>
      <c r="Q260" s="4"/>
      <c r="R260" s="4"/>
      <c r="S260" s="4"/>
    </row>
    <row r="261" spans="1:19" s="1" customFormat="1" ht="12.95" customHeight="1">
      <c r="A261" s="13">
        <v>253</v>
      </c>
      <c r="B261" s="14" t="s">
        <v>4</v>
      </c>
      <c r="C261" s="15">
        <v>2</v>
      </c>
      <c r="D261" s="16">
        <v>35.952500000000001</v>
      </c>
      <c r="E261" s="16">
        <v>8732.6164999999983</v>
      </c>
      <c r="F261" s="16">
        <v>13262.383500000002</v>
      </c>
      <c r="G261" s="33"/>
      <c r="H261" s="34"/>
      <c r="I261" s="78"/>
      <c r="J261" s="79"/>
      <c r="K261" s="4"/>
      <c r="L261" s="4"/>
      <c r="M261" s="4"/>
      <c r="N261" s="4"/>
      <c r="O261" s="4"/>
      <c r="P261" s="4"/>
      <c r="Q261" s="4"/>
      <c r="R261" s="4"/>
      <c r="S261" s="4"/>
    </row>
    <row r="262" spans="1:19" s="1" customFormat="1" ht="12.95" customHeight="1">
      <c r="A262" s="13">
        <v>254</v>
      </c>
      <c r="B262" s="14" t="s">
        <v>4</v>
      </c>
      <c r="C262" s="15">
        <v>2</v>
      </c>
      <c r="D262" s="16">
        <v>37.052500000000002</v>
      </c>
      <c r="E262" s="16">
        <v>8769.6689999999981</v>
      </c>
      <c r="F262" s="16">
        <v>13225.331000000002</v>
      </c>
      <c r="G262" s="33"/>
      <c r="H262" s="34"/>
      <c r="I262" s="78"/>
      <c r="J262" s="79"/>
      <c r="K262" s="4"/>
      <c r="L262" s="4"/>
      <c r="M262" s="4"/>
      <c r="N262" s="4"/>
      <c r="O262" s="4"/>
      <c r="P262" s="4"/>
      <c r="Q262" s="4"/>
      <c r="R262" s="4"/>
      <c r="S262" s="4"/>
    </row>
    <row r="263" spans="1:19" s="1" customFormat="1" ht="12.95" customHeight="1">
      <c r="A263" s="13">
        <v>255</v>
      </c>
      <c r="B263" s="14" t="s">
        <v>4</v>
      </c>
      <c r="C263" s="15">
        <v>2</v>
      </c>
      <c r="D263" s="16">
        <v>36.002500000000005</v>
      </c>
      <c r="E263" s="16">
        <v>8805.6714999999986</v>
      </c>
      <c r="F263" s="16">
        <v>13189.328500000001</v>
      </c>
      <c r="G263" s="33"/>
      <c r="H263" s="34"/>
      <c r="I263" s="78"/>
      <c r="J263" s="79"/>
      <c r="K263" s="4"/>
      <c r="L263" s="4"/>
      <c r="M263" s="4"/>
      <c r="N263" s="4"/>
      <c r="O263" s="4"/>
      <c r="P263" s="4"/>
      <c r="Q263" s="4"/>
      <c r="R263" s="4"/>
      <c r="S263" s="4"/>
    </row>
    <row r="264" spans="1:19" s="1" customFormat="1" ht="12.95" customHeight="1">
      <c r="A264" s="13">
        <v>256</v>
      </c>
      <c r="B264" s="14" t="s">
        <v>4</v>
      </c>
      <c r="C264" s="15">
        <v>2</v>
      </c>
      <c r="D264" s="16">
        <v>36.192500000000003</v>
      </c>
      <c r="E264" s="16">
        <v>8841.8639999999978</v>
      </c>
      <c r="F264" s="16">
        <v>13153.136000000002</v>
      </c>
      <c r="G264" s="33"/>
      <c r="H264" s="34"/>
      <c r="I264" s="78"/>
      <c r="J264" s="79"/>
      <c r="K264" s="4"/>
      <c r="L264" s="4"/>
      <c r="M264" s="4"/>
      <c r="N264" s="4"/>
      <c r="O264" s="4"/>
      <c r="P264" s="4"/>
      <c r="Q264" s="4"/>
      <c r="R264" s="4"/>
      <c r="S264" s="4"/>
    </row>
    <row r="265" spans="1:19" s="1" customFormat="1" ht="14.45" customHeight="1">
      <c r="A265" s="13">
        <v>257</v>
      </c>
      <c r="B265" s="14" t="s">
        <v>4</v>
      </c>
      <c r="C265" s="15">
        <v>2</v>
      </c>
      <c r="D265" s="16">
        <v>36.682500000000005</v>
      </c>
      <c r="E265" s="16">
        <v>8878.5464999999986</v>
      </c>
      <c r="F265" s="16">
        <v>13116.453500000001</v>
      </c>
      <c r="G265" s="33"/>
      <c r="H265" s="34"/>
      <c r="I265" s="74" t="s">
        <v>19</v>
      </c>
      <c r="J265" s="75"/>
      <c r="K265" s="4"/>
      <c r="L265" s="4"/>
      <c r="M265" s="4"/>
      <c r="N265" s="4"/>
      <c r="O265" s="4"/>
      <c r="P265" s="4"/>
      <c r="Q265" s="4"/>
      <c r="R265" s="4"/>
      <c r="S265" s="4"/>
    </row>
    <row r="266" spans="1:19" s="1" customFormat="1" ht="14.45" customHeight="1">
      <c r="A266" s="13">
        <v>258</v>
      </c>
      <c r="B266" s="14" t="s">
        <v>4</v>
      </c>
      <c r="C266" s="15">
        <v>2</v>
      </c>
      <c r="D266" s="16">
        <v>35.702500000000001</v>
      </c>
      <c r="E266" s="16">
        <v>8914.248999999998</v>
      </c>
      <c r="F266" s="57">
        <v>13080.751000000002</v>
      </c>
      <c r="G266" s="40"/>
      <c r="H266" s="58"/>
      <c r="I266" s="72" t="s">
        <v>42</v>
      </c>
      <c r="J266" s="73"/>
      <c r="K266" s="4"/>
      <c r="L266" s="4"/>
      <c r="M266" s="4"/>
      <c r="N266" s="4"/>
      <c r="O266" s="4"/>
      <c r="P266" s="4"/>
      <c r="Q266" s="4"/>
      <c r="R266" s="4"/>
      <c r="S266" s="4"/>
    </row>
    <row r="267" spans="1:19" s="1" customFormat="1" ht="14.45" customHeight="1">
      <c r="A267" s="13">
        <v>259</v>
      </c>
      <c r="B267" s="14" t="s">
        <v>4</v>
      </c>
      <c r="C267" s="15">
        <v>2</v>
      </c>
      <c r="D267" s="16">
        <v>35.212499999999999</v>
      </c>
      <c r="E267" s="16">
        <v>8949.4614999999976</v>
      </c>
      <c r="F267" s="16">
        <v>13045.538500000002</v>
      </c>
      <c r="G267" s="33"/>
      <c r="H267" s="34"/>
      <c r="I267" s="72"/>
      <c r="J267" s="73"/>
      <c r="K267" s="4"/>
      <c r="L267" s="4"/>
      <c r="M267" s="4"/>
      <c r="N267" s="4"/>
      <c r="O267" s="4"/>
      <c r="P267" s="4"/>
      <c r="Q267" s="4"/>
      <c r="R267" s="4"/>
      <c r="S267" s="4"/>
    </row>
    <row r="268" spans="1:19" s="1" customFormat="1" ht="14.45" customHeight="1">
      <c r="A268" s="13">
        <v>260</v>
      </c>
      <c r="B268" s="14" t="s">
        <v>4</v>
      </c>
      <c r="C268" s="15">
        <v>2</v>
      </c>
      <c r="D268" s="16">
        <v>35.9925</v>
      </c>
      <c r="E268" s="16">
        <v>8985.4539999999979</v>
      </c>
      <c r="F268" s="16">
        <v>13009.546000000002</v>
      </c>
      <c r="G268" s="33"/>
      <c r="H268" s="34"/>
      <c r="I268" s="72"/>
      <c r="J268" s="73"/>
      <c r="K268" s="4"/>
      <c r="L268" s="4"/>
      <c r="M268" s="4"/>
      <c r="N268" s="4"/>
      <c r="O268" s="4"/>
      <c r="P268" s="4"/>
      <c r="Q268" s="4"/>
      <c r="R268" s="4"/>
      <c r="S268" s="4"/>
    </row>
    <row r="269" spans="1:19" s="1" customFormat="1" ht="12.95" customHeight="1">
      <c r="A269" s="13">
        <v>261</v>
      </c>
      <c r="B269" s="14" t="s">
        <v>4</v>
      </c>
      <c r="C269" s="15">
        <v>2</v>
      </c>
      <c r="D269" s="16">
        <v>36.182500000000005</v>
      </c>
      <c r="E269" s="16">
        <v>9021.6364999999987</v>
      </c>
      <c r="F269" s="16">
        <v>12973.363500000001</v>
      </c>
      <c r="G269" s="33"/>
      <c r="H269" s="34"/>
      <c r="I269" s="78"/>
      <c r="J269" s="79"/>
      <c r="K269" s="4"/>
      <c r="L269" s="4"/>
      <c r="M269" s="4"/>
      <c r="N269" s="4"/>
      <c r="O269" s="4"/>
      <c r="P269" s="4"/>
      <c r="Q269" s="4"/>
      <c r="R269" s="4"/>
      <c r="S269" s="4"/>
    </row>
    <row r="270" spans="1:19" s="1" customFormat="1" ht="12.95" customHeight="1">
      <c r="A270" s="13">
        <v>262</v>
      </c>
      <c r="B270" s="14" t="s">
        <v>4</v>
      </c>
      <c r="C270" s="15">
        <v>2</v>
      </c>
      <c r="D270" s="16">
        <v>34.572499999999998</v>
      </c>
      <c r="E270" s="16">
        <v>9056.2089999999989</v>
      </c>
      <c r="F270" s="16">
        <v>12938.791000000001</v>
      </c>
      <c r="G270" s="33"/>
      <c r="H270" s="34"/>
      <c r="I270" s="78"/>
      <c r="J270" s="79"/>
      <c r="K270" s="4"/>
      <c r="L270" s="4"/>
      <c r="M270" s="4"/>
      <c r="N270" s="4"/>
      <c r="O270" s="4"/>
      <c r="P270" s="4"/>
      <c r="Q270" s="4"/>
      <c r="R270" s="4"/>
      <c r="S270" s="4"/>
    </row>
    <row r="271" spans="1:19" s="1" customFormat="1" ht="12.95" customHeight="1">
      <c r="A271" s="13">
        <v>263</v>
      </c>
      <c r="B271" s="14" t="s">
        <v>4</v>
      </c>
      <c r="C271" s="15">
        <v>2</v>
      </c>
      <c r="D271" s="16">
        <v>36.502500000000005</v>
      </c>
      <c r="E271" s="16">
        <v>9092.7114999999994</v>
      </c>
      <c r="F271" s="16">
        <v>12902.288500000001</v>
      </c>
      <c r="G271" s="33"/>
      <c r="H271" s="34"/>
      <c r="I271" s="78"/>
      <c r="J271" s="79"/>
      <c r="K271" s="4"/>
      <c r="L271" s="4"/>
      <c r="M271" s="4"/>
      <c r="N271" s="4"/>
      <c r="O271" s="4"/>
      <c r="P271" s="4"/>
      <c r="Q271" s="4"/>
      <c r="R271" s="4"/>
      <c r="S271" s="4"/>
    </row>
    <row r="272" spans="1:19" s="1" customFormat="1" ht="12.95" customHeight="1">
      <c r="A272" s="13">
        <v>264</v>
      </c>
      <c r="B272" s="14" t="s">
        <v>4</v>
      </c>
      <c r="C272" s="15">
        <v>2</v>
      </c>
      <c r="D272" s="16">
        <v>36.212499999999999</v>
      </c>
      <c r="E272" s="16">
        <v>9128.9239999999991</v>
      </c>
      <c r="F272" s="16">
        <v>12866.076000000001</v>
      </c>
      <c r="G272" s="33"/>
      <c r="H272" s="34"/>
      <c r="I272" s="78"/>
      <c r="J272" s="79"/>
      <c r="K272" s="4"/>
      <c r="L272" s="4"/>
      <c r="M272" s="4"/>
      <c r="N272" s="4"/>
      <c r="O272" s="4"/>
      <c r="P272" s="4"/>
      <c r="Q272" s="4"/>
      <c r="R272" s="4"/>
      <c r="S272" s="4"/>
    </row>
    <row r="273" spans="1:19" s="1" customFormat="1" ht="12.95" customHeight="1">
      <c r="A273" s="13">
        <v>265</v>
      </c>
      <c r="B273" s="14" t="s">
        <v>4</v>
      </c>
      <c r="C273" s="15">
        <v>2</v>
      </c>
      <c r="D273" s="16">
        <v>36.142499999999998</v>
      </c>
      <c r="E273" s="16">
        <v>9165.066499999999</v>
      </c>
      <c r="F273" s="16">
        <v>12829.933500000001</v>
      </c>
      <c r="G273" s="33"/>
      <c r="H273" s="34"/>
      <c r="I273" s="78"/>
      <c r="J273" s="79"/>
      <c r="K273" s="4"/>
      <c r="L273" s="4"/>
      <c r="M273" s="4"/>
      <c r="N273" s="4"/>
      <c r="O273" s="4"/>
      <c r="P273" s="4"/>
      <c r="Q273" s="4"/>
      <c r="R273" s="4"/>
      <c r="S273" s="4"/>
    </row>
    <row r="274" spans="1:19" s="1" customFormat="1" ht="12.95" customHeight="1">
      <c r="A274" s="13">
        <v>266</v>
      </c>
      <c r="B274" s="14" t="s">
        <v>4</v>
      </c>
      <c r="C274" s="15">
        <v>2</v>
      </c>
      <c r="D274" s="16">
        <v>34.452500000000001</v>
      </c>
      <c r="E274" s="16">
        <v>9199.5189999999984</v>
      </c>
      <c r="F274" s="16">
        <v>12795.481000000002</v>
      </c>
      <c r="G274" s="33"/>
      <c r="H274" s="34"/>
      <c r="I274" s="78"/>
      <c r="J274" s="79"/>
      <c r="K274" s="4"/>
      <c r="L274" s="4"/>
      <c r="M274" s="4"/>
      <c r="N274" s="4"/>
      <c r="O274" s="4"/>
      <c r="P274" s="4"/>
      <c r="Q274" s="4"/>
      <c r="R274" s="4"/>
      <c r="S274" s="4"/>
    </row>
    <row r="275" spans="1:19" s="1" customFormat="1" ht="12.95" customHeight="1">
      <c r="A275" s="13">
        <v>267</v>
      </c>
      <c r="B275" s="14" t="s">
        <v>4</v>
      </c>
      <c r="C275" s="15">
        <v>2</v>
      </c>
      <c r="D275" s="16">
        <v>36.082500000000003</v>
      </c>
      <c r="E275" s="16">
        <v>9235.6014999999989</v>
      </c>
      <c r="F275" s="16">
        <v>12759.398500000001</v>
      </c>
      <c r="G275" s="33"/>
      <c r="H275" s="34"/>
      <c r="I275" s="78"/>
      <c r="J275" s="79"/>
      <c r="K275" s="4"/>
      <c r="L275" s="4"/>
      <c r="M275" s="4"/>
      <c r="N275" s="4"/>
      <c r="O275" s="4"/>
      <c r="P275" s="4"/>
      <c r="Q275" s="4"/>
      <c r="R275" s="4"/>
      <c r="S275" s="4"/>
    </row>
    <row r="276" spans="1:19" s="1" customFormat="1" ht="12.95" customHeight="1">
      <c r="A276" s="13">
        <v>268</v>
      </c>
      <c r="B276" s="14" t="s">
        <v>4</v>
      </c>
      <c r="C276" s="15">
        <v>2</v>
      </c>
      <c r="D276" s="16">
        <v>36.162500000000001</v>
      </c>
      <c r="E276" s="16">
        <v>9271.7639999999992</v>
      </c>
      <c r="F276" s="16">
        <v>12723.236000000001</v>
      </c>
      <c r="G276" s="33"/>
      <c r="H276" s="34"/>
      <c r="I276" s="78"/>
      <c r="J276" s="79"/>
      <c r="K276" s="4"/>
      <c r="L276" s="4"/>
      <c r="M276" s="4"/>
      <c r="N276" s="4"/>
      <c r="O276" s="4"/>
      <c r="P276" s="4"/>
      <c r="Q276" s="4"/>
      <c r="R276" s="4"/>
      <c r="S276" s="4"/>
    </row>
    <row r="277" spans="1:19" s="1" customFormat="1" ht="12.95" customHeight="1">
      <c r="A277" s="13">
        <v>269</v>
      </c>
      <c r="B277" s="14" t="s">
        <v>4</v>
      </c>
      <c r="C277" s="15">
        <v>2</v>
      </c>
      <c r="D277" s="16">
        <v>35.402500000000003</v>
      </c>
      <c r="E277" s="16">
        <v>9307.1664999999994</v>
      </c>
      <c r="F277" s="16">
        <v>12687.833500000001</v>
      </c>
      <c r="G277" s="33"/>
      <c r="H277" s="34"/>
      <c r="I277" s="78"/>
      <c r="J277" s="79"/>
      <c r="K277" s="4"/>
      <c r="L277" s="4"/>
      <c r="M277" s="4"/>
      <c r="N277" s="4"/>
      <c r="O277" s="4"/>
      <c r="P277" s="4"/>
      <c r="Q277" s="4"/>
      <c r="R277" s="4"/>
      <c r="S277" s="4"/>
    </row>
    <row r="278" spans="1:19" s="1" customFormat="1" ht="12.95" customHeight="1">
      <c r="A278" s="13">
        <v>270</v>
      </c>
      <c r="B278" s="14" t="s">
        <v>4</v>
      </c>
      <c r="C278" s="15">
        <v>2</v>
      </c>
      <c r="D278" s="16">
        <v>36.982500000000002</v>
      </c>
      <c r="E278" s="16">
        <v>9344.1489999999994</v>
      </c>
      <c r="F278" s="16">
        <v>12650.851000000001</v>
      </c>
      <c r="G278" s="33"/>
      <c r="H278" s="34"/>
      <c r="I278" s="78"/>
      <c r="J278" s="79"/>
      <c r="K278" s="4"/>
      <c r="L278" s="4"/>
      <c r="M278" s="4"/>
      <c r="N278" s="4"/>
      <c r="O278" s="4"/>
      <c r="P278" s="4"/>
      <c r="Q278" s="4"/>
      <c r="R278" s="4"/>
      <c r="S278" s="4"/>
    </row>
    <row r="279" spans="1:19" s="1" customFormat="1" ht="12.95" customHeight="1">
      <c r="A279" s="13">
        <v>271</v>
      </c>
      <c r="B279" s="14" t="s">
        <v>4</v>
      </c>
      <c r="C279" s="15">
        <v>2</v>
      </c>
      <c r="D279" s="16">
        <v>36.772500000000001</v>
      </c>
      <c r="E279" s="16">
        <v>9380.9214999999986</v>
      </c>
      <c r="F279" s="16">
        <v>12614.078500000001</v>
      </c>
      <c r="G279" s="33"/>
      <c r="H279" s="34"/>
      <c r="I279" s="78"/>
      <c r="J279" s="79"/>
      <c r="K279" s="4"/>
      <c r="L279" s="4"/>
      <c r="M279" s="4"/>
      <c r="N279" s="4"/>
      <c r="O279" s="4"/>
      <c r="P279" s="4"/>
      <c r="Q279" s="4"/>
      <c r="R279" s="4"/>
      <c r="S279" s="4"/>
    </row>
    <row r="280" spans="1:19" s="1" customFormat="1" ht="12.95" customHeight="1">
      <c r="A280" s="13">
        <v>272</v>
      </c>
      <c r="B280" s="14" t="s">
        <v>4</v>
      </c>
      <c r="C280" s="15">
        <v>2</v>
      </c>
      <c r="D280" s="16">
        <v>36.852499999999999</v>
      </c>
      <c r="E280" s="16">
        <v>9417.7739999999994</v>
      </c>
      <c r="F280" s="16">
        <v>12577.226000000001</v>
      </c>
      <c r="G280" s="33"/>
      <c r="H280" s="34"/>
      <c r="I280" s="78"/>
      <c r="J280" s="79"/>
      <c r="K280" s="4"/>
      <c r="L280" s="4"/>
      <c r="M280" s="4"/>
      <c r="N280" s="4"/>
      <c r="O280" s="4"/>
      <c r="P280" s="4"/>
      <c r="Q280" s="4"/>
      <c r="R280" s="4"/>
      <c r="S280" s="4"/>
    </row>
    <row r="281" spans="1:19" s="1" customFormat="1" ht="12.95" customHeight="1">
      <c r="A281" s="13">
        <v>273</v>
      </c>
      <c r="B281" s="14" t="s">
        <v>4</v>
      </c>
      <c r="C281" s="15">
        <v>2</v>
      </c>
      <c r="D281" s="16">
        <v>37.052500000000002</v>
      </c>
      <c r="E281" s="16">
        <v>9454.8264999999992</v>
      </c>
      <c r="F281" s="16">
        <v>12540.173500000001</v>
      </c>
      <c r="G281" s="33"/>
      <c r="H281" s="34"/>
      <c r="I281" s="78"/>
      <c r="J281" s="79"/>
      <c r="K281" s="4"/>
      <c r="L281" s="4"/>
      <c r="M281" s="4"/>
      <c r="N281" s="4"/>
      <c r="O281" s="4"/>
      <c r="P281" s="4"/>
      <c r="Q281" s="4"/>
      <c r="R281" s="4"/>
      <c r="S281" s="4"/>
    </row>
    <row r="282" spans="1:19" s="1" customFormat="1" ht="12.95" customHeight="1">
      <c r="A282" s="13">
        <v>274</v>
      </c>
      <c r="B282" s="14" t="s">
        <v>4</v>
      </c>
      <c r="C282" s="15">
        <v>2</v>
      </c>
      <c r="D282" s="16">
        <v>37.112500000000004</v>
      </c>
      <c r="E282" s="16">
        <v>9491.9389999999985</v>
      </c>
      <c r="F282" s="16">
        <v>12503.061000000002</v>
      </c>
      <c r="G282" s="33"/>
      <c r="H282" s="34"/>
      <c r="I282" s="78"/>
      <c r="J282" s="79"/>
      <c r="K282" s="4"/>
      <c r="L282" s="4"/>
      <c r="M282" s="4"/>
      <c r="N282" s="4"/>
      <c r="O282" s="4"/>
      <c r="P282" s="4"/>
      <c r="Q282" s="4"/>
      <c r="R282" s="4"/>
      <c r="S282" s="4"/>
    </row>
    <row r="283" spans="1:19" s="1" customFormat="1" ht="12.95" customHeight="1">
      <c r="A283" s="13">
        <v>275</v>
      </c>
      <c r="B283" s="14" t="s">
        <v>4</v>
      </c>
      <c r="C283" s="15">
        <v>2</v>
      </c>
      <c r="D283" s="16">
        <v>37.022500000000001</v>
      </c>
      <c r="E283" s="16">
        <v>9528.9614999999976</v>
      </c>
      <c r="F283" s="16">
        <v>12466.038500000002</v>
      </c>
      <c r="G283" s="33"/>
      <c r="H283" s="34"/>
      <c r="I283" s="80"/>
      <c r="J283" s="81"/>
      <c r="K283" s="4"/>
      <c r="L283" s="4"/>
      <c r="M283" s="4"/>
      <c r="N283" s="4"/>
      <c r="O283" s="4"/>
      <c r="P283" s="4"/>
      <c r="Q283" s="4"/>
      <c r="R283" s="4"/>
      <c r="S283" s="4"/>
    </row>
    <row r="284" spans="1:19" s="1" customFormat="1" ht="14.45" customHeight="1">
      <c r="A284" s="50">
        <v>276</v>
      </c>
      <c r="B284" s="51" t="s">
        <v>4</v>
      </c>
      <c r="C284" s="41">
        <v>1</v>
      </c>
      <c r="D284" s="59">
        <v>37.022500000000001</v>
      </c>
      <c r="E284" s="59">
        <v>9565.9839999999967</v>
      </c>
      <c r="F284" s="59">
        <v>12429.016000000003</v>
      </c>
      <c r="G284" s="41"/>
      <c r="H284" s="60"/>
      <c r="I284" s="74" t="s">
        <v>9</v>
      </c>
      <c r="J284" s="75"/>
      <c r="K284" s="4"/>
      <c r="L284" s="4"/>
      <c r="M284" s="4"/>
      <c r="N284" s="4"/>
      <c r="O284" s="4"/>
      <c r="P284" s="4"/>
      <c r="Q284" s="4"/>
      <c r="R284" s="4"/>
      <c r="S284" s="4"/>
    </row>
    <row r="285" spans="1:19" s="1" customFormat="1" ht="14.45" customHeight="1">
      <c r="A285" s="13">
        <v>277</v>
      </c>
      <c r="B285" s="14" t="s">
        <v>4</v>
      </c>
      <c r="C285" s="15">
        <v>2</v>
      </c>
      <c r="D285" s="16">
        <v>37.042500000000004</v>
      </c>
      <c r="E285" s="16">
        <v>9603.0264999999963</v>
      </c>
      <c r="F285" s="57">
        <v>12391.973500000004</v>
      </c>
      <c r="G285" s="40"/>
      <c r="H285" s="58"/>
      <c r="I285" s="72" t="s">
        <v>43</v>
      </c>
      <c r="J285" s="73"/>
      <c r="K285" s="4"/>
      <c r="L285" s="4"/>
      <c r="M285" s="4"/>
      <c r="N285" s="4"/>
      <c r="O285" s="4"/>
      <c r="P285" s="4"/>
      <c r="Q285" s="4"/>
      <c r="R285" s="4"/>
      <c r="S285" s="4"/>
    </row>
    <row r="286" spans="1:19" s="1" customFormat="1" ht="14.45" customHeight="1">
      <c r="A286" s="70" t="s">
        <v>36</v>
      </c>
      <c r="B286" s="71"/>
      <c r="C286" s="42">
        <v>1</v>
      </c>
      <c r="D286" s="61">
        <v>9.8925000000000001</v>
      </c>
      <c r="E286" s="61">
        <v>9612.9189999999962</v>
      </c>
      <c r="F286" s="61">
        <v>12382.081000000004</v>
      </c>
      <c r="G286" s="42"/>
      <c r="H286" s="62"/>
      <c r="I286" s="72"/>
      <c r="J286" s="73"/>
      <c r="K286" s="4"/>
      <c r="L286" s="4"/>
      <c r="M286" s="4"/>
      <c r="N286" s="4"/>
      <c r="O286" s="4"/>
      <c r="P286" s="4"/>
      <c r="Q286" s="4"/>
      <c r="R286" s="4"/>
      <c r="S286" s="4"/>
    </row>
    <row r="287" spans="1:19" s="1" customFormat="1" ht="14.45" customHeight="1">
      <c r="A287" s="13">
        <v>278</v>
      </c>
      <c r="B287" s="14" t="s">
        <v>4</v>
      </c>
      <c r="C287" s="15">
        <v>2</v>
      </c>
      <c r="D287" s="16">
        <v>36.432500000000005</v>
      </c>
      <c r="E287" s="16">
        <v>9649.351499999997</v>
      </c>
      <c r="F287" s="16">
        <v>12345.648500000003</v>
      </c>
      <c r="G287" s="33"/>
      <c r="H287" s="34"/>
      <c r="I287" s="72"/>
      <c r="J287" s="73"/>
      <c r="K287" s="4"/>
      <c r="L287" s="4"/>
      <c r="M287" s="4"/>
      <c r="N287" s="4"/>
      <c r="O287" s="4"/>
      <c r="P287" s="4"/>
      <c r="Q287" s="4"/>
      <c r="R287" s="4"/>
      <c r="S287" s="4"/>
    </row>
    <row r="288" spans="1:19" s="1" customFormat="1" ht="12.95" customHeight="1">
      <c r="A288" s="13">
        <v>279</v>
      </c>
      <c r="B288" s="14" t="s">
        <v>4</v>
      </c>
      <c r="C288" s="15">
        <v>2</v>
      </c>
      <c r="D288" s="16">
        <v>36.552500000000002</v>
      </c>
      <c r="E288" s="16">
        <v>9685.9039999999968</v>
      </c>
      <c r="F288" s="16">
        <v>12309.096000000003</v>
      </c>
      <c r="G288" s="33"/>
      <c r="H288" s="34"/>
      <c r="I288" s="82"/>
      <c r="J288" s="83"/>
      <c r="K288" s="4"/>
      <c r="L288" s="4"/>
      <c r="M288" s="4"/>
      <c r="N288" s="4"/>
      <c r="O288" s="4"/>
      <c r="P288" s="4"/>
      <c r="Q288" s="4"/>
      <c r="R288" s="4"/>
      <c r="S288" s="4"/>
    </row>
    <row r="289" spans="1:19" s="1" customFormat="1" ht="12.95" customHeight="1">
      <c r="A289" s="13">
        <v>280</v>
      </c>
      <c r="B289" s="14" t="s">
        <v>4</v>
      </c>
      <c r="C289" s="15">
        <v>2</v>
      </c>
      <c r="D289" s="16">
        <v>36.792500000000004</v>
      </c>
      <c r="E289" s="16">
        <v>9722.6964999999964</v>
      </c>
      <c r="F289" s="16">
        <v>12272.303500000004</v>
      </c>
      <c r="G289" s="33"/>
      <c r="H289" s="34"/>
      <c r="I289" s="78"/>
      <c r="J289" s="79"/>
      <c r="K289" s="4"/>
      <c r="L289" s="4"/>
      <c r="M289" s="4"/>
      <c r="N289" s="4"/>
      <c r="O289" s="4"/>
      <c r="P289" s="4"/>
      <c r="Q289" s="4"/>
      <c r="R289" s="4"/>
      <c r="S289" s="4"/>
    </row>
    <row r="290" spans="1:19" s="1" customFormat="1" ht="12.95" customHeight="1">
      <c r="A290" s="13">
        <v>281</v>
      </c>
      <c r="B290" s="14" t="s">
        <v>4</v>
      </c>
      <c r="C290" s="15">
        <v>2</v>
      </c>
      <c r="D290" s="16">
        <v>35.822499999999998</v>
      </c>
      <c r="E290" s="16">
        <v>9758.5189999999966</v>
      </c>
      <c r="F290" s="16">
        <v>12236.481000000003</v>
      </c>
      <c r="G290" s="33"/>
      <c r="H290" s="34"/>
      <c r="I290" s="78"/>
      <c r="J290" s="79"/>
      <c r="K290" s="4"/>
      <c r="L290" s="4"/>
      <c r="M290" s="4"/>
      <c r="N290" s="4"/>
      <c r="O290" s="4"/>
      <c r="P290" s="4"/>
      <c r="Q290" s="4"/>
      <c r="R290" s="4"/>
      <c r="S290" s="4"/>
    </row>
    <row r="291" spans="1:19" s="1" customFormat="1" ht="12.95" customHeight="1">
      <c r="A291" s="13">
        <v>282</v>
      </c>
      <c r="B291" s="14" t="s">
        <v>4</v>
      </c>
      <c r="C291" s="15">
        <v>2</v>
      </c>
      <c r="D291" s="16">
        <v>36.302500000000002</v>
      </c>
      <c r="E291" s="16">
        <v>9794.8214999999964</v>
      </c>
      <c r="F291" s="16">
        <v>12200.178500000004</v>
      </c>
      <c r="G291" s="33"/>
      <c r="H291" s="34"/>
      <c r="I291" s="78"/>
      <c r="J291" s="79"/>
      <c r="K291" s="4"/>
      <c r="L291" s="4"/>
      <c r="M291" s="4"/>
      <c r="N291" s="4"/>
      <c r="O291" s="4"/>
      <c r="P291" s="4"/>
      <c r="Q291" s="4"/>
      <c r="R291" s="4"/>
      <c r="S291" s="4"/>
    </row>
    <row r="292" spans="1:19" s="1" customFormat="1" ht="12.95" customHeight="1">
      <c r="A292" s="13">
        <v>283</v>
      </c>
      <c r="B292" s="14" t="s">
        <v>4</v>
      </c>
      <c r="C292" s="15">
        <v>2</v>
      </c>
      <c r="D292" s="16">
        <v>36.162500000000001</v>
      </c>
      <c r="E292" s="16">
        <v>9830.9839999999967</v>
      </c>
      <c r="F292" s="16">
        <v>12164.016000000003</v>
      </c>
      <c r="G292" s="33"/>
      <c r="H292" s="34"/>
      <c r="I292" s="78"/>
      <c r="J292" s="79"/>
      <c r="K292" s="4"/>
      <c r="L292" s="4"/>
      <c r="M292" s="4"/>
      <c r="N292" s="4"/>
      <c r="O292" s="4"/>
      <c r="P292" s="4"/>
      <c r="Q292" s="4"/>
      <c r="R292" s="4"/>
      <c r="S292" s="4"/>
    </row>
    <row r="293" spans="1:19" s="1" customFormat="1" ht="12.95" customHeight="1">
      <c r="A293" s="13">
        <v>284</v>
      </c>
      <c r="B293" s="14" t="s">
        <v>4</v>
      </c>
      <c r="C293" s="15">
        <v>2</v>
      </c>
      <c r="D293" s="16">
        <v>36.232500000000002</v>
      </c>
      <c r="E293" s="16">
        <v>9867.2164999999968</v>
      </c>
      <c r="F293" s="16">
        <v>12127.783500000003</v>
      </c>
      <c r="G293" s="33"/>
      <c r="H293" s="34"/>
      <c r="I293" s="78"/>
      <c r="J293" s="79"/>
      <c r="K293" s="4"/>
      <c r="L293" s="4"/>
      <c r="M293" s="4"/>
      <c r="N293" s="4"/>
      <c r="O293" s="4"/>
      <c r="P293" s="4"/>
      <c r="Q293" s="4"/>
      <c r="R293" s="4"/>
      <c r="S293" s="4"/>
    </row>
    <row r="294" spans="1:19" s="1" customFormat="1" ht="12.95" customHeight="1">
      <c r="A294" s="13">
        <v>285</v>
      </c>
      <c r="B294" s="14" t="s">
        <v>4</v>
      </c>
      <c r="C294" s="15">
        <v>2</v>
      </c>
      <c r="D294" s="16">
        <v>36.352499999999999</v>
      </c>
      <c r="E294" s="16">
        <v>9903.5689999999977</v>
      </c>
      <c r="F294" s="16">
        <v>12091.431000000002</v>
      </c>
      <c r="G294" s="33"/>
      <c r="H294" s="34"/>
      <c r="I294" s="78"/>
      <c r="J294" s="79"/>
      <c r="K294" s="4"/>
      <c r="L294" s="4"/>
      <c r="M294" s="4"/>
      <c r="N294" s="4"/>
      <c r="O294" s="4"/>
      <c r="P294" s="4"/>
      <c r="Q294" s="4"/>
      <c r="R294" s="4"/>
      <c r="S294" s="4"/>
    </row>
    <row r="295" spans="1:19" s="1" customFormat="1" ht="12.95" customHeight="1">
      <c r="A295" s="13">
        <v>286</v>
      </c>
      <c r="B295" s="14" t="s">
        <v>4</v>
      </c>
      <c r="C295" s="15">
        <v>2</v>
      </c>
      <c r="D295" s="16">
        <v>36.072499999999998</v>
      </c>
      <c r="E295" s="16">
        <v>9939.6414999999979</v>
      </c>
      <c r="F295" s="16">
        <v>12055.358500000002</v>
      </c>
      <c r="G295" s="33"/>
      <c r="H295" s="34"/>
      <c r="I295" s="78"/>
      <c r="J295" s="79"/>
      <c r="K295" s="4"/>
      <c r="L295" s="4"/>
      <c r="M295" s="4"/>
      <c r="N295" s="4"/>
      <c r="O295" s="4"/>
      <c r="P295" s="4"/>
      <c r="Q295" s="4"/>
      <c r="R295" s="4"/>
      <c r="S295" s="4"/>
    </row>
    <row r="296" spans="1:19" s="1" customFormat="1" ht="12.95" customHeight="1">
      <c r="A296" s="13">
        <v>287</v>
      </c>
      <c r="B296" s="14" t="s">
        <v>4</v>
      </c>
      <c r="C296" s="15">
        <v>2</v>
      </c>
      <c r="D296" s="16">
        <v>36.442500000000003</v>
      </c>
      <c r="E296" s="16">
        <v>9976.0839999999971</v>
      </c>
      <c r="F296" s="16">
        <v>12018.916000000003</v>
      </c>
      <c r="G296" s="33"/>
      <c r="H296" s="34"/>
      <c r="I296" s="80"/>
      <c r="J296" s="81"/>
      <c r="K296" s="4"/>
      <c r="L296" s="4"/>
      <c r="M296" s="4"/>
      <c r="N296" s="4"/>
      <c r="O296" s="4"/>
      <c r="P296" s="4"/>
      <c r="Q296" s="4"/>
      <c r="R296" s="4"/>
      <c r="S296" s="4"/>
    </row>
    <row r="297" spans="1:19" s="1" customFormat="1" ht="14.45" customHeight="1">
      <c r="A297" s="50">
        <v>288</v>
      </c>
      <c r="B297" s="51" t="s">
        <v>4</v>
      </c>
      <c r="C297" s="41">
        <v>1</v>
      </c>
      <c r="D297" s="59">
        <v>36.762500000000003</v>
      </c>
      <c r="E297" s="59">
        <v>10012.846499999998</v>
      </c>
      <c r="F297" s="59">
        <v>11982.153500000002</v>
      </c>
      <c r="G297" s="41"/>
      <c r="H297" s="60"/>
      <c r="I297" s="74" t="s">
        <v>10</v>
      </c>
      <c r="J297" s="75"/>
      <c r="K297" s="4"/>
      <c r="L297" s="4"/>
      <c r="M297" s="4"/>
      <c r="N297" s="4"/>
      <c r="O297" s="4"/>
      <c r="P297" s="4"/>
      <c r="Q297" s="4"/>
      <c r="R297" s="4"/>
      <c r="S297" s="4"/>
    </row>
    <row r="298" spans="1:19" s="1" customFormat="1" ht="14.45" customHeight="1">
      <c r="A298" s="13">
        <v>289</v>
      </c>
      <c r="B298" s="14" t="s">
        <v>4</v>
      </c>
      <c r="C298" s="15">
        <v>2</v>
      </c>
      <c r="D298" s="16">
        <v>35.872500000000002</v>
      </c>
      <c r="E298" s="16">
        <v>10048.718999999997</v>
      </c>
      <c r="F298" s="57">
        <v>11946.281000000003</v>
      </c>
      <c r="G298" s="40"/>
      <c r="H298" s="58"/>
      <c r="I298" s="72" t="s">
        <v>44</v>
      </c>
      <c r="J298" s="73"/>
      <c r="K298" s="4"/>
      <c r="L298" s="4"/>
      <c r="M298" s="4"/>
      <c r="N298" s="4"/>
      <c r="O298" s="4"/>
      <c r="P298" s="4"/>
      <c r="Q298" s="4"/>
      <c r="R298" s="4"/>
      <c r="S298" s="4"/>
    </row>
    <row r="299" spans="1:19" s="1" customFormat="1" ht="14.45" customHeight="1">
      <c r="A299" s="70" t="s">
        <v>37</v>
      </c>
      <c r="B299" s="71"/>
      <c r="C299" s="42">
        <v>1</v>
      </c>
      <c r="D299" s="61">
        <v>19.892500000000002</v>
      </c>
      <c r="E299" s="61">
        <v>10068.611499999997</v>
      </c>
      <c r="F299" s="61">
        <v>11926.388500000003</v>
      </c>
      <c r="G299" s="42"/>
      <c r="H299" s="62"/>
      <c r="I299" s="72"/>
      <c r="J299" s="73"/>
      <c r="K299" s="4"/>
      <c r="L299" s="4"/>
      <c r="M299" s="4"/>
      <c r="N299" s="4"/>
      <c r="O299" s="4"/>
      <c r="P299" s="4"/>
      <c r="Q299" s="4"/>
      <c r="R299" s="4"/>
      <c r="S299" s="4"/>
    </row>
    <row r="300" spans="1:19" s="1" customFormat="1" ht="14.45" customHeight="1">
      <c r="A300" s="13">
        <v>290</v>
      </c>
      <c r="B300" s="14" t="s">
        <v>4</v>
      </c>
      <c r="C300" s="15">
        <v>2</v>
      </c>
      <c r="D300" s="16">
        <v>35.7425</v>
      </c>
      <c r="E300" s="16">
        <v>10104.353999999998</v>
      </c>
      <c r="F300" s="16">
        <v>11890.646000000002</v>
      </c>
      <c r="G300" s="33"/>
      <c r="H300" s="34"/>
      <c r="I300" s="72"/>
      <c r="J300" s="73"/>
      <c r="K300" s="4"/>
      <c r="L300" s="4"/>
      <c r="M300" s="4"/>
      <c r="N300" s="4"/>
      <c r="O300" s="4"/>
      <c r="P300" s="4"/>
      <c r="Q300" s="4"/>
      <c r="R300" s="4"/>
      <c r="S300" s="4"/>
    </row>
    <row r="301" spans="1:19" s="1" customFormat="1" ht="12.95" customHeight="1">
      <c r="A301" s="13">
        <v>291</v>
      </c>
      <c r="B301" s="14" t="s">
        <v>4</v>
      </c>
      <c r="C301" s="15">
        <v>2</v>
      </c>
      <c r="D301" s="16">
        <v>35.592500000000001</v>
      </c>
      <c r="E301" s="16">
        <v>10139.946499999998</v>
      </c>
      <c r="F301" s="16">
        <v>11855.053500000002</v>
      </c>
      <c r="G301" s="33"/>
      <c r="H301" s="34"/>
      <c r="I301" s="82"/>
      <c r="J301" s="83"/>
      <c r="K301" s="4"/>
      <c r="L301" s="4"/>
      <c r="M301" s="4"/>
      <c r="N301" s="4"/>
      <c r="O301" s="4"/>
      <c r="P301" s="4"/>
      <c r="Q301" s="4"/>
      <c r="R301" s="4"/>
      <c r="S301" s="4"/>
    </row>
    <row r="302" spans="1:19" s="1" customFormat="1" ht="12.95" customHeight="1">
      <c r="A302" s="13">
        <v>292</v>
      </c>
      <c r="B302" s="14" t="s">
        <v>4</v>
      </c>
      <c r="C302" s="15">
        <v>2</v>
      </c>
      <c r="D302" s="16">
        <v>36.3825</v>
      </c>
      <c r="E302" s="16">
        <v>10176.328999999998</v>
      </c>
      <c r="F302" s="16">
        <v>11818.671000000002</v>
      </c>
      <c r="G302" s="33"/>
      <c r="H302" s="34"/>
      <c r="I302" s="78"/>
      <c r="J302" s="79"/>
      <c r="K302" s="4"/>
      <c r="L302" s="4"/>
      <c r="M302" s="4"/>
      <c r="N302" s="4"/>
      <c r="O302" s="4"/>
      <c r="P302" s="4"/>
      <c r="Q302" s="4"/>
      <c r="R302" s="4"/>
      <c r="S302" s="4"/>
    </row>
    <row r="303" spans="1:19" s="1" customFormat="1" ht="12.95" customHeight="1">
      <c r="A303" s="13">
        <v>293</v>
      </c>
      <c r="B303" s="14" t="s">
        <v>4</v>
      </c>
      <c r="C303" s="15">
        <v>2</v>
      </c>
      <c r="D303" s="16">
        <v>36.282499999999999</v>
      </c>
      <c r="E303" s="16">
        <v>10212.611499999997</v>
      </c>
      <c r="F303" s="16">
        <v>11782.388500000003</v>
      </c>
      <c r="G303" s="33"/>
      <c r="H303" s="34"/>
      <c r="I303" s="78"/>
      <c r="J303" s="79"/>
      <c r="K303" s="4"/>
      <c r="L303" s="4"/>
      <c r="M303" s="4"/>
      <c r="N303" s="4"/>
      <c r="O303" s="4"/>
      <c r="P303" s="4"/>
      <c r="Q303" s="4"/>
      <c r="R303" s="4"/>
      <c r="S303" s="4"/>
    </row>
    <row r="304" spans="1:19" s="1" customFormat="1" ht="12.95" customHeight="1">
      <c r="A304" s="13">
        <v>294</v>
      </c>
      <c r="B304" s="14" t="s">
        <v>4</v>
      </c>
      <c r="C304" s="15">
        <v>2</v>
      </c>
      <c r="D304" s="16">
        <v>36.792500000000004</v>
      </c>
      <c r="E304" s="16">
        <v>10249.403999999997</v>
      </c>
      <c r="F304" s="16">
        <v>11745.596000000003</v>
      </c>
      <c r="G304" s="33"/>
      <c r="H304" s="34"/>
      <c r="I304" s="78"/>
      <c r="J304" s="79"/>
      <c r="K304" s="4"/>
      <c r="L304" s="4"/>
      <c r="M304" s="4"/>
      <c r="N304" s="4"/>
      <c r="O304" s="4"/>
      <c r="P304" s="4"/>
      <c r="Q304" s="4"/>
      <c r="R304" s="4"/>
      <c r="S304" s="4"/>
    </row>
    <row r="305" spans="1:19" s="1" customFormat="1" ht="12.95" customHeight="1">
      <c r="A305" s="13">
        <v>295</v>
      </c>
      <c r="B305" s="14" t="s">
        <v>4</v>
      </c>
      <c r="C305" s="15">
        <v>2</v>
      </c>
      <c r="D305" s="16">
        <v>35.432500000000005</v>
      </c>
      <c r="E305" s="16">
        <v>10284.836499999998</v>
      </c>
      <c r="F305" s="16">
        <v>11710.163500000002</v>
      </c>
      <c r="G305" s="33"/>
      <c r="H305" s="34"/>
      <c r="I305" s="78"/>
      <c r="J305" s="79"/>
      <c r="K305" s="4"/>
      <c r="L305" s="4"/>
      <c r="M305" s="4"/>
      <c r="N305" s="4"/>
      <c r="O305" s="4"/>
      <c r="P305" s="4"/>
      <c r="Q305" s="4"/>
      <c r="R305" s="4"/>
      <c r="S305" s="4"/>
    </row>
    <row r="306" spans="1:19" s="1" customFormat="1" ht="12.95" customHeight="1">
      <c r="A306" s="13">
        <v>296</v>
      </c>
      <c r="B306" s="14" t="s">
        <v>4</v>
      </c>
      <c r="C306" s="15">
        <v>2</v>
      </c>
      <c r="D306" s="16">
        <v>36.732500000000002</v>
      </c>
      <c r="E306" s="16">
        <v>10321.568999999998</v>
      </c>
      <c r="F306" s="16">
        <v>11673.431000000002</v>
      </c>
      <c r="G306" s="33"/>
      <c r="H306" s="34"/>
      <c r="I306" s="78"/>
      <c r="J306" s="79"/>
      <c r="K306" s="4"/>
      <c r="L306" s="4"/>
      <c r="M306" s="4"/>
      <c r="N306" s="4"/>
      <c r="O306" s="4"/>
      <c r="P306" s="4"/>
      <c r="Q306" s="4"/>
      <c r="R306" s="4"/>
      <c r="S306" s="4"/>
    </row>
    <row r="307" spans="1:19" s="1" customFormat="1" ht="14.45" customHeight="1">
      <c r="A307" s="13">
        <v>297</v>
      </c>
      <c r="B307" s="14" t="s">
        <v>4</v>
      </c>
      <c r="C307" s="15">
        <v>2</v>
      </c>
      <c r="D307" s="16">
        <v>36.432500000000005</v>
      </c>
      <c r="E307" s="16">
        <v>10358.001499999998</v>
      </c>
      <c r="F307" s="16">
        <v>11636.998500000002</v>
      </c>
      <c r="G307" s="33"/>
      <c r="H307" s="34"/>
      <c r="I307" s="74" t="s">
        <v>6</v>
      </c>
      <c r="J307" s="75"/>
      <c r="K307" s="4"/>
      <c r="L307" s="4"/>
      <c r="M307" s="4"/>
      <c r="N307" s="4"/>
      <c r="O307" s="4"/>
      <c r="P307" s="4"/>
      <c r="Q307" s="4"/>
      <c r="R307" s="4"/>
      <c r="S307" s="4"/>
    </row>
    <row r="308" spans="1:19" s="1" customFormat="1" ht="14.45" customHeight="1">
      <c r="A308" s="13">
        <v>298</v>
      </c>
      <c r="B308" s="14" t="s">
        <v>4</v>
      </c>
      <c r="C308" s="15">
        <v>2</v>
      </c>
      <c r="D308" s="16">
        <v>36.322499999999998</v>
      </c>
      <c r="E308" s="16">
        <v>10394.323999999999</v>
      </c>
      <c r="F308" s="16">
        <v>11600.676000000001</v>
      </c>
      <c r="G308" s="33"/>
      <c r="H308" s="34"/>
      <c r="I308" s="72" t="s">
        <v>45</v>
      </c>
      <c r="J308" s="73"/>
      <c r="K308" s="4"/>
      <c r="L308" s="4"/>
      <c r="M308" s="4"/>
      <c r="N308" s="4"/>
      <c r="O308" s="4"/>
      <c r="P308" s="4"/>
      <c r="Q308" s="4"/>
      <c r="R308" s="4"/>
      <c r="S308" s="4"/>
    </row>
    <row r="309" spans="1:19" s="1" customFormat="1" ht="14.45" customHeight="1">
      <c r="A309" s="13">
        <v>299</v>
      </c>
      <c r="B309" s="14" t="s">
        <v>4</v>
      </c>
      <c r="C309" s="15">
        <v>2</v>
      </c>
      <c r="D309" s="16">
        <v>36.302500000000002</v>
      </c>
      <c r="E309" s="16">
        <v>10430.626499999998</v>
      </c>
      <c r="F309" s="16">
        <v>11564.373500000002</v>
      </c>
      <c r="G309" s="33"/>
      <c r="H309" s="34"/>
      <c r="I309" s="72"/>
      <c r="J309" s="73"/>
      <c r="K309" s="4"/>
      <c r="L309" s="4"/>
      <c r="M309" s="4"/>
      <c r="N309" s="4"/>
      <c r="O309" s="4"/>
      <c r="P309" s="4"/>
      <c r="Q309" s="4"/>
      <c r="R309" s="4"/>
      <c r="S309" s="4"/>
    </row>
    <row r="310" spans="1:19" s="1" customFormat="1" ht="14.45" customHeight="1" thickBot="1">
      <c r="A310" s="17">
        <v>300</v>
      </c>
      <c r="B310" s="18" t="s">
        <v>4</v>
      </c>
      <c r="C310" s="19">
        <v>2</v>
      </c>
      <c r="D310" s="20">
        <v>36.702500000000001</v>
      </c>
      <c r="E310" s="20">
        <v>10467.328999999998</v>
      </c>
      <c r="F310" s="63">
        <v>11527.671000000002</v>
      </c>
      <c r="G310" s="43"/>
      <c r="H310" s="64"/>
      <c r="I310" s="76"/>
      <c r="J310" s="77"/>
      <c r="K310" s="4"/>
      <c r="L310" s="4"/>
      <c r="M310" s="4"/>
      <c r="N310" s="4"/>
      <c r="O310" s="4"/>
      <c r="P310" s="4"/>
      <c r="Q310" s="4"/>
      <c r="R310" s="4"/>
      <c r="S310" s="4"/>
    </row>
    <row r="311" spans="1:19" ht="15.75" hidden="1" thickTop="1"/>
    <row r="312" spans="1:19" ht="15.75" hidden="1" thickTop="1"/>
    <row r="313" spans="1:19" ht="15.75" hidden="1" thickTop="1"/>
    <row r="314" spans="1:19" ht="15.75" hidden="1" thickTop="1"/>
    <row r="315" spans="1:19" ht="15.75" hidden="1" thickTop="1"/>
    <row r="316" spans="1:19" ht="15.75" hidden="1" thickTop="1"/>
    <row r="317" spans="1:19" ht="15.75" hidden="1" thickTop="1"/>
    <row r="318" spans="1:19" ht="15.75" hidden="1" thickTop="1"/>
    <row r="319" spans="1:19" ht="15.75" hidden="1" thickTop="1"/>
    <row r="320" spans="1:19" ht="15.75" hidden="1" thickTop="1"/>
    <row r="321" ht="15.75" hidden="1" thickTop="1"/>
    <row r="322" ht="15.75" hidden="1" thickTop="1"/>
    <row r="323" ht="15.75" hidden="1" thickTop="1"/>
    <row r="324" ht="15.75" hidden="1" thickTop="1"/>
    <row r="325" ht="15.75" hidden="1" thickTop="1"/>
    <row r="326" ht="15.75" hidden="1" thickTop="1"/>
    <row r="327" ht="15.75" hidden="1" thickTop="1"/>
    <row r="328" ht="15.75" hidden="1" thickTop="1"/>
    <row r="329" ht="15.75" hidden="1" thickTop="1"/>
    <row r="330" ht="15.75" hidden="1" thickTop="1"/>
    <row r="331" ht="15.75" hidden="1" thickTop="1"/>
    <row r="332" ht="15.75" hidden="1" thickTop="1"/>
    <row r="333" ht="15.75" hidden="1" thickTop="1"/>
    <row r="334" ht="15.75" hidden="1" thickTop="1"/>
    <row r="335" ht="15.75" hidden="1" thickTop="1"/>
    <row r="336" ht="15.75" hidden="1" thickTop="1"/>
    <row r="337" ht="15.75" hidden="1" thickTop="1"/>
    <row r="338" ht="15.75" hidden="1" thickTop="1"/>
    <row r="339" ht="15.75" hidden="1" thickTop="1"/>
    <row r="340" ht="15.75" hidden="1" thickTop="1"/>
    <row r="341" ht="15.75" hidden="1" thickTop="1"/>
    <row r="342" ht="15.75" hidden="1" thickTop="1"/>
    <row r="343" ht="15.75" hidden="1" thickTop="1"/>
    <row r="344" ht="15.75" hidden="1" thickTop="1"/>
    <row r="345" ht="15.75" hidden="1" thickTop="1"/>
    <row r="346" ht="15.75" hidden="1" thickTop="1"/>
    <row r="347" ht="15.75" hidden="1" thickTop="1"/>
    <row r="348" ht="15.75" hidden="1" thickTop="1"/>
    <row r="349" ht="15.75" hidden="1" thickTop="1"/>
    <row r="350" ht="15.75" hidden="1" thickTop="1"/>
    <row r="351" ht="15.75" hidden="1" thickTop="1"/>
    <row r="352" ht="15.75" hidden="1" thickTop="1"/>
    <row r="353" ht="15.75" hidden="1" thickTop="1"/>
    <row r="354" ht="15.75" hidden="1" thickTop="1"/>
    <row r="355" ht="15.75" hidden="1" thickTop="1"/>
    <row r="356" ht="15.75" hidden="1" thickTop="1"/>
    <row r="357" ht="15.75" hidden="1" thickTop="1"/>
    <row r="358" ht="15.75" hidden="1" thickTop="1"/>
    <row r="359" ht="15.75" hidden="1" thickTop="1"/>
    <row r="360" ht="15.75" hidden="1" thickTop="1"/>
    <row r="361" ht="15.75" hidden="1" thickTop="1"/>
    <row r="362" ht="15.75" hidden="1" thickTop="1"/>
    <row r="363" ht="15.75" hidden="1" thickTop="1"/>
    <row r="364" ht="15.75" hidden="1" thickTop="1"/>
    <row r="365" ht="15.75" hidden="1" thickTop="1"/>
    <row r="366" ht="15.75" hidden="1" thickTop="1"/>
    <row r="367" ht="15.75" hidden="1" thickTop="1"/>
    <row r="368" ht="15.75" hidden="1" thickTop="1"/>
    <row r="369" ht="15.75" hidden="1" thickTop="1"/>
    <row r="370" ht="15.75" hidden="1" thickTop="1"/>
    <row r="371" ht="15.75" hidden="1" thickTop="1"/>
    <row r="372" ht="15.75" hidden="1" thickTop="1"/>
    <row r="373" ht="15.75" hidden="1" thickTop="1"/>
    <row r="374" ht="15.75" hidden="1" thickTop="1"/>
    <row r="375" ht="15.75" hidden="1" thickTop="1"/>
    <row r="376" ht="15.75" hidden="1" thickTop="1"/>
    <row r="377" ht="15.75" hidden="1" thickTop="1"/>
    <row r="378" ht="15.75" hidden="1" thickTop="1"/>
    <row r="379" ht="15.75" hidden="1" thickTop="1"/>
    <row r="380" ht="15.75" hidden="1" thickTop="1"/>
    <row r="381" ht="15.75" hidden="1" thickTop="1"/>
    <row r="382" ht="15.75" hidden="1" thickTop="1"/>
    <row r="383" ht="15.75" hidden="1" thickTop="1"/>
    <row r="384" ht="15.75" hidden="1" thickTop="1"/>
    <row r="385" ht="15.75" hidden="1" thickTop="1"/>
    <row r="386" ht="15.75" hidden="1" thickTop="1"/>
    <row r="387" ht="15.75" hidden="1" thickTop="1"/>
    <row r="388" ht="15.75" hidden="1" thickTop="1"/>
    <row r="389" ht="15.75" hidden="1" thickTop="1"/>
    <row r="390" ht="15.75" hidden="1" thickTop="1"/>
    <row r="391" ht="15.75" hidden="1" thickTop="1"/>
    <row r="392" ht="15.75" hidden="1" thickTop="1"/>
    <row r="393" ht="15.75" hidden="1" thickTop="1"/>
    <row r="394" ht="15.75" hidden="1" thickTop="1"/>
    <row r="395" ht="15.75" hidden="1" thickTop="1"/>
    <row r="396" ht="15.75" hidden="1" thickTop="1"/>
    <row r="397" ht="15.75" hidden="1" thickTop="1"/>
    <row r="398" ht="15.75" hidden="1" thickTop="1"/>
    <row r="399" ht="15.75" hidden="1" thickTop="1"/>
    <row r="400" ht="15.75" hidden="1" thickTop="1"/>
    <row r="401" ht="15.75" hidden="1" thickTop="1"/>
    <row r="402" ht="15.75" hidden="1" thickTop="1"/>
    <row r="403" ht="15.75" hidden="1" thickTop="1"/>
    <row r="404" ht="15.75" hidden="1" thickTop="1"/>
    <row r="405" ht="15.75" hidden="1" thickTop="1"/>
    <row r="406" ht="15.75" hidden="1" thickTop="1"/>
    <row r="407" ht="15.75" hidden="1" thickTop="1"/>
    <row r="408" ht="15.75" hidden="1" thickTop="1"/>
    <row r="409" ht="15.75" hidden="1" thickTop="1"/>
    <row r="410" ht="15.75" hidden="1" thickTop="1"/>
    <row r="411" ht="15.75" hidden="1" thickTop="1"/>
    <row r="412" ht="15.75" hidden="1" thickTop="1"/>
    <row r="413" ht="15.75" hidden="1" thickTop="1"/>
    <row r="414" ht="15.75" hidden="1" thickTop="1"/>
    <row r="415" ht="15.75" hidden="1" thickTop="1"/>
    <row r="416" ht="15.75" hidden="1" thickTop="1"/>
    <row r="417" ht="15.75" hidden="1" thickTop="1"/>
    <row r="418" ht="15.75" hidden="1" thickTop="1"/>
    <row r="419" ht="15.75" hidden="1" thickTop="1"/>
    <row r="420" ht="15.75" hidden="1" thickTop="1"/>
    <row r="421" ht="15.75" hidden="1" thickTop="1"/>
    <row r="422" ht="15.75" hidden="1" thickTop="1"/>
    <row r="423" ht="15.75" hidden="1" thickTop="1"/>
    <row r="424" ht="15.75" hidden="1" thickTop="1"/>
    <row r="425" ht="15.75" hidden="1" thickTop="1"/>
    <row r="426" ht="15.75" hidden="1" thickTop="1"/>
    <row r="427" ht="15.75" hidden="1" thickTop="1"/>
    <row r="428" ht="15.75" hidden="1" thickTop="1"/>
    <row r="429" ht="15.75" hidden="1" thickTop="1"/>
    <row r="430" ht="15.75" hidden="1" thickTop="1"/>
    <row r="431" ht="15.75" hidden="1" thickTop="1"/>
    <row r="432" ht="15.75" hidden="1" thickTop="1"/>
    <row r="433" ht="15.75" hidden="1" thickTop="1"/>
    <row r="434" ht="15.75" hidden="1" thickTop="1"/>
    <row r="435" ht="15.75" hidden="1" thickTop="1"/>
    <row r="436" ht="15.75" hidden="1" thickTop="1"/>
    <row r="437" ht="15.75" hidden="1" thickTop="1"/>
    <row r="438" ht="15.75" hidden="1" thickTop="1"/>
    <row r="439" ht="15.75" hidden="1" thickTop="1"/>
    <row r="440" ht="15.75" hidden="1" thickTop="1"/>
    <row r="441" ht="15.75" hidden="1" thickTop="1"/>
    <row r="442" ht="15.75" hidden="1" thickTop="1"/>
    <row r="443" ht="15.75" hidden="1" thickTop="1"/>
    <row r="444" ht="15.75" hidden="1" thickTop="1"/>
    <row r="445" ht="15.75" hidden="1" thickTop="1"/>
    <row r="446" ht="15.75" hidden="1" thickTop="1"/>
    <row r="447" ht="15.75" hidden="1" thickTop="1"/>
    <row r="448" ht="15.75" hidden="1" thickTop="1"/>
    <row r="449" ht="15.75" hidden="1" thickTop="1"/>
    <row r="450" ht="15.75" hidden="1" thickTop="1"/>
    <row r="451" ht="15.75" hidden="1" thickTop="1"/>
    <row r="452" ht="15.75" hidden="1" thickTop="1"/>
    <row r="453" ht="15.75" hidden="1" thickTop="1"/>
    <row r="454" ht="15.75" hidden="1" thickTop="1"/>
    <row r="455" ht="15.75" hidden="1" thickTop="1"/>
    <row r="456" ht="15.75" hidden="1" thickTop="1"/>
    <row r="457" ht="15.75" hidden="1" thickTop="1"/>
    <row r="458" ht="15.75" hidden="1" thickTop="1"/>
    <row r="459" ht="15.75" hidden="1" thickTop="1"/>
    <row r="460" ht="15.75" hidden="1" thickTop="1"/>
    <row r="461" ht="15.75" hidden="1" thickTop="1"/>
    <row r="462" ht="15.75" hidden="1" thickTop="1"/>
    <row r="463" ht="15.75" hidden="1" thickTop="1"/>
    <row r="464" ht="15.75" hidden="1" thickTop="1"/>
    <row r="465" ht="15.75" hidden="1" thickTop="1"/>
    <row r="466" ht="15.75" hidden="1" thickTop="1"/>
    <row r="467" ht="15.75" hidden="1" thickTop="1"/>
    <row r="468" ht="15.75" hidden="1" thickTop="1"/>
    <row r="469" ht="15.75" hidden="1" thickTop="1"/>
    <row r="470" ht="15.75" hidden="1" thickTop="1"/>
    <row r="471" ht="15.75" hidden="1" thickTop="1"/>
    <row r="472" ht="15.75" hidden="1" thickTop="1"/>
    <row r="473" ht="15.75" hidden="1" thickTop="1"/>
    <row r="474" ht="15.75" hidden="1" thickTop="1"/>
    <row r="475" ht="15.75" hidden="1" thickTop="1"/>
    <row r="476" ht="15.75" hidden="1" thickTop="1"/>
    <row r="477" ht="15.75" hidden="1" thickTop="1"/>
    <row r="478" ht="15.75" hidden="1" thickTop="1"/>
    <row r="479" ht="15.75" hidden="1" thickTop="1"/>
    <row r="480" ht="15.75" hidden="1" thickTop="1"/>
    <row r="481" ht="15.75" hidden="1" thickTop="1"/>
    <row r="482" ht="15.75" hidden="1" thickTop="1"/>
    <row r="483" ht="15.75" hidden="1" thickTop="1"/>
    <row r="484" ht="15.75" hidden="1" thickTop="1"/>
    <row r="485" ht="15.75" hidden="1" thickTop="1"/>
    <row r="486" ht="15.75" hidden="1" thickTop="1"/>
    <row r="487" ht="15.75" hidden="1" thickTop="1"/>
    <row r="488" ht="15.75" hidden="1" thickTop="1"/>
    <row r="489" ht="15.75" hidden="1" thickTop="1"/>
    <row r="490" ht="15.75" hidden="1" thickTop="1"/>
    <row r="491" ht="15.75" hidden="1" thickTop="1"/>
    <row r="492" ht="15.75" hidden="1" thickTop="1"/>
    <row r="493" ht="15.75" hidden="1" thickTop="1"/>
    <row r="494" ht="15.75" hidden="1" thickTop="1"/>
    <row r="495" ht="15.75" hidden="1" thickTop="1"/>
    <row r="496" ht="15.75" hidden="1" thickTop="1"/>
    <row r="497" ht="15.75" hidden="1" thickTop="1"/>
    <row r="498" ht="15.75" hidden="1" thickTop="1"/>
    <row r="499" ht="15.75" hidden="1" thickTop="1"/>
    <row r="500" ht="15.75" hidden="1" thickTop="1"/>
    <row r="501" ht="15.75" hidden="1" thickTop="1"/>
    <row r="502" ht="15.75" hidden="1" thickTop="1"/>
    <row r="503" ht="15.75" hidden="1" thickTop="1"/>
    <row r="504" ht="15.75" hidden="1" thickTop="1"/>
    <row r="505" ht="15.75" hidden="1" thickTop="1"/>
    <row r="506" ht="15.75" hidden="1" thickTop="1"/>
    <row r="507" ht="15.75" hidden="1" thickTop="1"/>
    <row r="508" ht="15.75" hidden="1" thickTop="1"/>
    <row r="509" ht="15.75" hidden="1" thickTop="1"/>
    <row r="510" ht="15.75" hidden="1" thickTop="1"/>
    <row r="511" ht="15.75" hidden="1" thickTop="1"/>
    <row r="512" ht="15.75" hidden="1" thickTop="1"/>
    <row r="513" ht="15.75" hidden="1" thickTop="1"/>
    <row r="514" ht="15.75" hidden="1" thickTop="1"/>
    <row r="515" ht="15.75" hidden="1" thickTop="1"/>
    <row r="516" ht="15.75" hidden="1" thickTop="1"/>
    <row r="517" ht="15.75" hidden="1" thickTop="1"/>
    <row r="518" ht="15.75" hidden="1" thickTop="1"/>
    <row r="519" ht="15.75" hidden="1" thickTop="1"/>
    <row r="520" ht="15.75" hidden="1" thickTop="1"/>
    <row r="521" ht="15.75" hidden="1" thickTop="1"/>
    <row r="522" ht="15.75" hidden="1" thickTop="1"/>
    <row r="523" ht="15.75" hidden="1" thickTop="1"/>
    <row r="524" ht="15.75" hidden="1" thickTop="1"/>
    <row r="525" ht="15.75" hidden="1" thickTop="1"/>
    <row r="526" ht="15.75" hidden="1" thickTop="1"/>
    <row r="527" ht="15.75" hidden="1" thickTop="1"/>
    <row r="528" ht="15.75" hidden="1" thickTop="1"/>
    <row r="529" ht="15.75" hidden="1" thickTop="1"/>
    <row r="530" ht="15.75" hidden="1" thickTop="1"/>
    <row r="531" ht="15.75" hidden="1" thickTop="1"/>
    <row r="532" ht="15.75" hidden="1" thickTop="1"/>
    <row r="533" ht="15.75" hidden="1" thickTop="1"/>
    <row r="534" ht="15.75" hidden="1" thickTop="1"/>
    <row r="535" ht="15.75" hidden="1" thickTop="1"/>
    <row r="536" ht="15.75" hidden="1" thickTop="1"/>
    <row r="537" ht="15.75" hidden="1" thickTop="1"/>
    <row r="538" ht="15.75" hidden="1" thickTop="1"/>
    <row r="539" ht="15.75" hidden="1" thickTop="1"/>
    <row r="540" ht="15.75" hidden="1" thickTop="1"/>
    <row r="541" ht="15.75" hidden="1" thickTop="1"/>
    <row r="542" ht="15.75" hidden="1" thickTop="1"/>
    <row r="543" ht="15.75" hidden="1" thickTop="1"/>
    <row r="544" ht="15.75" hidden="1" thickTop="1"/>
    <row r="545" ht="15.75" hidden="1" thickTop="1"/>
    <row r="546" ht="15.75" hidden="1" thickTop="1"/>
    <row r="547" ht="15.75" hidden="1" thickTop="1"/>
    <row r="548" ht="15.75" hidden="1" thickTop="1"/>
    <row r="549" ht="15.75" hidden="1" thickTop="1"/>
    <row r="550" ht="15.75" hidden="1" thickTop="1"/>
    <row r="551" ht="15.75" hidden="1" thickTop="1"/>
    <row r="552" ht="15.75" hidden="1" thickTop="1"/>
    <row r="553" ht="15.75" hidden="1" thickTop="1"/>
    <row r="554" ht="15.75" hidden="1" thickTop="1"/>
    <row r="555" ht="15.75" hidden="1" thickTop="1"/>
    <row r="556" ht="15.75" hidden="1" thickTop="1"/>
    <row r="557" ht="15.75" hidden="1" thickTop="1"/>
    <row r="558" ht="15.75" hidden="1" thickTop="1"/>
    <row r="559" ht="15.75" hidden="1" thickTop="1"/>
    <row r="560" ht="15.75" hidden="1" thickTop="1"/>
    <row r="561" ht="15.75" hidden="1" thickTop="1"/>
    <row r="562" ht="15.75" hidden="1" thickTop="1"/>
    <row r="563" ht="15.75" hidden="1" thickTop="1"/>
    <row r="564" ht="15.75" hidden="1" thickTop="1"/>
    <row r="565" ht="15.75" hidden="1" thickTop="1"/>
    <row r="566" ht="15.75" hidden="1" thickTop="1"/>
    <row r="567" ht="15.75" hidden="1" thickTop="1"/>
    <row r="568" ht="15.75" hidden="1" thickTop="1"/>
    <row r="569" ht="15.75" hidden="1" thickTop="1"/>
    <row r="570" ht="15.75" hidden="1" thickTop="1"/>
    <row r="571" ht="15.75" hidden="1" thickTop="1"/>
    <row r="572" ht="15.75" hidden="1" thickTop="1"/>
    <row r="573" ht="15.75" hidden="1" thickTop="1"/>
    <row r="574" ht="15.75" hidden="1" thickTop="1"/>
    <row r="575" ht="15.75" hidden="1" thickTop="1"/>
    <row r="576" ht="15.75" hidden="1" thickTop="1"/>
    <row r="577" ht="15.75" hidden="1" thickTop="1"/>
    <row r="578" ht="15.75" hidden="1" thickTop="1"/>
    <row r="579" ht="15.75" hidden="1" thickTop="1"/>
    <row r="580" ht="15.75" hidden="1" thickTop="1"/>
    <row r="581" ht="15.75" hidden="1" thickTop="1"/>
    <row r="582" ht="15.75" hidden="1" thickTop="1"/>
    <row r="583" ht="15.75" hidden="1" thickTop="1"/>
    <row r="584" ht="15.75" hidden="1" thickTop="1"/>
    <row r="585" ht="15.75" hidden="1" thickTop="1"/>
    <row r="586" ht="15.75" hidden="1" thickTop="1"/>
    <row r="587" ht="15.75" hidden="1" thickTop="1"/>
    <row r="588" ht="15.75" hidden="1" thickTop="1"/>
    <row r="589" ht="15.75" hidden="1" thickTop="1"/>
    <row r="590" ht="15.75" hidden="1" thickTop="1"/>
    <row r="591" ht="15.75" hidden="1" thickTop="1"/>
    <row r="592" ht="15.75" hidden="1" thickTop="1"/>
    <row r="593" ht="15.75" hidden="1" thickTop="1"/>
    <row r="594" ht="15.75" hidden="1" thickTop="1"/>
    <row r="595" ht="15.75" hidden="1" thickTop="1"/>
    <row r="596" ht="15.75" hidden="1" thickTop="1"/>
    <row r="597" ht="15.75" hidden="1" thickTop="1"/>
    <row r="598" ht="15.75" hidden="1" thickTop="1"/>
    <row r="599" ht="15.75" hidden="1" thickTop="1"/>
    <row r="600" ht="15.75" hidden="1" thickTop="1"/>
    <row r="601" ht="15.75" hidden="1" thickTop="1"/>
    <row r="602" ht="15.75" hidden="1" thickTop="1"/>
    <row r="603" ht="15.75" hidden="1" thickTop="1"/>
    <row r="604" ht="15.75" hidden="1" thickTop="1"/>
    <row r="605" ht="15.75" hidden="1" thickTop="1"/>
    <row r="606" ht="15.75" hidden="1" thickTop="1"/>
    <row r="607" ht="15.75" hidden="1" thickTop="1"/>
    <row r="608" ht="15.75" hidden="1" thickTop="1"/>
    <row r="609" ht="15.75" hidden="1" thickTop="1"/>
    <row r="610" ht="15.75" hidden="1" thickTop="1"/>
    <row r="611" ht="15.75" hidden="1" thickTop="1"/>
    <row r="612" ht="15.75" hidden="1" thickTop="1"/>
    <row r="613" ht="15.75" hidden="1" thickTop="1"/>
    <row r="614" ht="15.75" hidden="1" thickTop="1"/>
    <row r="615" ht="15.75" hidden="1" thickTop="1"/>
    <row r="616" ht="15.75" hidden="1" thickTop="1"/>
    <row r="617" ht="15.75" hidden="1" thickTop="1"/>
    <row r="618" ht="15.75" hidden="1" thickTop="1"/>
    <row r="619" ht="15.75" hidden="1" thickTop="1"/>
    <row r="620" ht="15.75" hidden="1" thickTop="1"/>
    <row r="621" ht="15.75" hidden="1" thickTop="1"/>
    <row r="622" ht="15.75" hidden="1" thickTop="1"/>
    <row r="623" ht="15.75" hidden="1" thickTop="1"/>
    <row r="624" ht="15.75" hidden="1" thickTop="1"/>
    <row r="625" ht="15.75" hidden="1" thickTop="1"/>
    <row r="626" ht="15.75" hidden="1" thickTop="1"/>
    <row r="627" ht="15.75" hidden="1" thickTop="1"/>
    <row r="628" ht="15.75" hidden="1" thickTop="1"/>
    <row r="629" ht="15.75" hidden="1" thickTop="1"/>
    <row r="630" ht="15.75" hidden="1" thickTop="1"/>
    <row r="631" ht="15.75" hidden="1" thickTop="1"/>
    <row r="632" ht="15.75" hidden="1" thickTop="1"/>
    <row r="633" ht="15.75" hidden="1" thickTop="1"/>
    <row r="634" ht="15.75" hidden="1" thickTop="1"/>
    <row r="635" ht="15.75" hidden="1" thickTop="1"/>
    <row r="636" ht="15.75" hidden="1" thickTop="1"/>
    <row r="637" ht="15.75" hidden="1" thickTop="1"/>
    <row r="638" ht="15.75" hidden="1" thickTop="1"/>
    <row r="639" ht="15.75" hidden="1" thickTop="1"/>
    <row r="640" ht="15.75" hidden="1" thickTop="1"/>
    <row r="641" ht="15.75" hidden="1" thickTop="1"/>
    <row r="642" ht="15.75" hidden="1" thickTop="1"/>
    <row r="643" ht="15.75" hidden="1" thickTop="1"/>
    <row r="644" ht="15.75" hidden="1" thickTop="1"/>
    <row r="645" ht="15.75" hidden="1" thickTop="1"/>
    <row r="646" ht="15.75" hidden="1" thickTop="1"/>
    <row r="647" ht="15.75" hidden="1" thickTop="1"/>
    <row r="648" ht="15.75" hidden="1" thickTop="1"/>
    <row r="649" ht="15.75" hidden="1" thickTop="1"/>
    <row r="650" ht="15.75" hidden="1" thickTop="1"/>
    <row r="651" ht="15.75" hidden="1" thickTop="1"/>
    <row r="652" ht="15.75" hidden="1" thickTop="1"/>
    <row r="653" ht="15.75" hidden="1" thickTop="1"/>
    <row r="654" ht="15.75" hidden="1" thickTop="1"/>
    <row r="655" ht="15.75" hidden="1" thickTop="1"/>
    <row r="656" ht="15.75" hidden="1" thickTop="1"/>
    <row r="657" ht="15.75" hidden="1" thickTop="1"/>
    <row r="658" ht="15.75" hidden="1" thickTop="1"/>
    <row r="659" ht="15.75" hidden="1" thickTop="1"/>
    <row r="660" ht="15.75" hidden="1" thickTop="1"/>
    <row r="661" ht="15.75" hidden="1" thickTop="1"/>
    <row r="662" ht="15.75" hidden="1" thickTop="1"/>
    <row r="663" ht="15.75" hidden="1" thickTop="1"/>
    <row r="664" ht="15.75" hidden="1" thickTop="1"/>
    <row r="665" ht="15.75" hidden="1" thickTop="1"/>
    <row r="666" ht="15.75" hidden="1" thickTop="1"/>
    <row r="667" ht="15.75" hidden="1" thickTop="1"/>
    <row r="668" ht="15.75" hidden="1" thickTop="1"/>
    <row r="669" ht="15.75" hidden="1" thickTop="1"/>
    <row r="670" ht="15.75" hidden="1" thickTop="1"/>
    <row r="671" ht="15.75" hidden="1" thickTop="1"/>
    <row r="672" ht="15.75" hidden="1" thickTop="1"/>
    <row r="673" ht="15.75" hidden="1" thickTop="1"/>
    <row r="674" ht="15.75" hidden="1" thickTop="1"/>
    <row r="675" ht="15.75" hidden="1" thickTop="1"/>
    <row r="676" ht="15.75" hidden="1" thickTop="1"/>
    <row r="677" ht="15.75" hidden="1" thickTop="1"/>
    <row r="678" ht="15.75" hidden="1" thickTop="1"/>
    <row r="679" ht="15.75" hidden="1" thickTop="1"/>
    <row r="680" ht="15.75" hidden="1" thickTop="1"/>
    <row r="681" ht="15.75" hidden="1" thickTop="1"/>
    <row r="682" ht="15.75" hidden="1" thickTop="1"/>
    <row r="683" ht="15.75" hidden="1" thickTop="1"/>
    <row r="684" ht="15.75" hidden="1" thickTop="1"/>
    <row r="685" ht="15.75" hidden="1" thickTop="1"/>
    <row r="686" ht="15.75" hidden="1" thickTop="1"/>
    <row r="687" ht="15.75" hidden="1" thickTop="1"/>
    <row r="688" ht="15.75" hidden="1" thickTop="1"/>
    <row r="689" ht="15.75" hidden="1" thickTop="1"/>
    <row r="690" ht="15.75" hidden="1" thickTop="1"/>
    <row r="691" ht="15.75" hidden="1" thickTop="1"/>
    <row r="692" ht="15.75" hidden="1" thickTop="1"/>
    <row r="693" ht="15.75" hidden="1" thickTop="1"/>
    <row r="694" ht="15.75" hidden="1" thickTop="1"/>
    <row r="695" ht="15.75" hidden="1" thickTop="1"/>
    <row r="696" ht="15.75" hidden="1" thickTop="1"/>
    <row r="697" ht="15.75" hidden="1" thickTop="1"/>
    <row r="698" ht="15.75" hidden="1" thickTop="1"/>
    <row r="699" ht="15.75" hidden="1" thickTop="1"/>
    <row r="700" ht="15.75" hidden="1" thickTop="1"/>
    <row r="701" ht="15.75" hidden="1" thickTop="1"/>
    <row r="702" ht="15.75" hidden="1" thickTop="1"/>
    <row r="703" ht="15.75" hidden="1" thickTop="1"/>
    <row r="704" ht="15.75" hidden="1" thickTop="1"/>
    <row r="705" ht="15.75" hidden="1" thickTop="1"/>
    <row r="706" ht="15.75" hidden="1" thickTop="1"/>
    <row r="707" ht="15.75" hidden="1" thickTop="1"/>
    <row r="708" ht="15.75" hidden="1" thickTop="1"/>
    <row r="709" ht="15.75" hidden="1" thickTop="1"/>
    <row r="710" ht="15.75" hidden="1" thickTop="1"/>
    <row r="711" ht="15.75" hidden="1" thickTop="1"/>
    <row r="712" ht="15.75" hidden="1" thickTop="1"/>
    <row r="713" ht="15.75" hidden="1" thickTop="1"/>
    <row r="714" ht="15.75" hidden="1" thickTop="1"/>
    <row r="715" ht="15.75" hidden="1" thickTop="1"/>
    <row r="716" ht="15.75" hidden="1" thickTop="1"/>
    <row r="717" ht="15.75" hidden="1" thickTop="1"/>
    <row r="718" ht="15.75" hidden="1" thickTop="1"/>
    <row r="719" ht="15.75" hidden="1" thickTop="1"/>
    <row r="720" ht="15.75" hidden="1" thickTop="1"/>
    <row r="721" ht="15.75" hidden="1" thickTop="1"/>
    <row r="722" ht="15.75" hidden="1" thickTop="1"/>
    <row r="723" ht="15.75" hidden="1" thickTop="1"/>
    <row r="724" ht="15.75" hidden="1" thickTop="1"/>
    <row r="725" ht="15.75" hidden="1" thickTop="1"/>
    <row r="726" ht="15.75" hidden="1" thickTop="1"/>
    <row r="727" ht="15.75" hidden="1" thickTop="1"/>
    <row r="728" ht="15.75" hidden="1" thickTop="1"/>
    <row r="729" ht="15.75" hidden="1" thickTop="1"/>
    <row r="730" ht="15.75" hidden="1" thickTop="1"/>
    <row r="731" ht="15.75" hidden="1" thickTop="1"/>
    <row r="732" ht="15.75" hidden="1" thickTop="1"/>
    <row r="733" ht="15.75" hidden="1" thickTop="1"/>
    <row r="734" ht="15.75" hidden="1" thickTop="1"/>
  </sheetData>
  <mergeCells count="295">
    <mergeCell ref="I271:J271"/>
    <mergeCell ref="I272:J272"/>
    <mergeCell ref="I273:J273"/>
    <mergeCell ref="I277:J277"/>
    <mergeCell ref="A286:B286"/>
    <mergeCell ref="I304:J304"/>
    <mergeCell ref="I305:J305"/>
    <mergeCell ref="I244:J244"/>
    <mergeCell ref="I76:J76"/>
    <mergeCell ref="I77:J77"/>
    <mergeCell ref="I112:J112"/>
    <mergeCell ref="I122:J122"/>
    <mergeCell ref="I240:J240"/>
    <mergeCell ref="I284:J284"/>
    <mergeCell ref="I196:J196"/>
    <mergeCell ref="A238:B239"/>
    <mergeCell ref="I247:J247"/>
    <mergeCell ref="I107:J107"/>
    <mergeCell ref="I142:J142"/>
    <mergeCell ref="I86:J86"/>
    <mergeCell ref="I110:J110"/>
    <mergeCell ref="I181:J181"/>
    <mergeCell ref="I182:J182"/>
    <mergeCell ref="I114:J114"/>
    <mergeCell ref="I232:J232"/>
    <mergeCell ref="I230:J230"/>
    <mergeCell ref="I193:J193"/>
    <mergeCell ref="I154:J154"/>
    <mergeCell ref="I190:J190"/>
    <mergeCell ref="I204:J204"/>
    <mergeCell ref="I206:J206"/>
    <mergeCell ref="I229:J229"/>
    <mergeCell ref="I212:J212"/>
    <mergeCell ref="I207:J207"/>
    <mergeCell ref="I208:J208"/>
    <mergeCell ref="I200:J200"/>
    <mergeCell ref="I201:J201"/>
    <mergeCell ref="I222:J222"/>
    <mergeCell ref="I158:J158"/>
    <mergeCell ref="I159:J159"/>
    <mergeCell ref="I185:J185"/>
    <mergeCell ref="I174:J174"/>
    <mergeCell ref="I214:J216"/>
    <mergeCell ref="I194:J194"/>
    <mergeCell ref="I221:J221"/>
    <mergeCell ref="I223:J223"/>
    <mergeCell ref="I203:J203"/>
    <mergeCell ref="I180:J180"/>
    <mergeCell ref="I276:J276"/>
    <mergeCell ref="I306:J306"/>
    <mergeCell ref="I261:J261"/>
    <mergeCell ref="I282:J282"/>
    <mergeCell ref="I264:J264"/>
    <mergeCell ref="I265:J265"/>
    <mergeCell ref="I291:J291"/>
    <mergeCell ref="I269:J269"/>
    <mergeCell ref="I121:J121"/>
    <mergeCell ref="I260:J260"/>
    <mergeCell ref="I156:J156"/>
    <mergeCell ref="I191:J191"/>
    <mergeCell ref="I152:J152"/>
    <mergeCell ref="I153:J153"/>
    <mergeCell ref="I192:J192"/>
    <mergeCell ref="I170:J170"/>
    <mergeCell ref="I135:J135"/>
    <mergeCell ref="I241:J241"/>
    <mergeCell ref="I227:J227"/>
    <mergeCell ref="I202:J202"/>
    <mergeCell ref="I246:J246"/>
    <mergeCell ref="I278:J278"/>
    <mergeCell ref="I279:J279"/>
    <mergeCell ref="I155:J155"/>
    <mergeCell ref="I236:J236"/>
    <mergeCell ref="I243:J243"/>
    <mergeCell ref="I237:J237"/>
    <mergeCell ref="I266:J268"/>
    <mergeCell ref="I209:J209"/>
    <mergeCell ref="I161:J161"/>
    <mergeCell ref="I255:J255"/>
    <mergeCell ref="I256:J256"/>
    <mergeCell ref="I253:J253"/>
    <mergeCell ref="I254:J254"/>
    <mergeCell ref="I186:J186"/>
    <mergeCell ref="I187:J187"/>
    <mergeCell ref="I176:J176"/>
    <mergeCell ref="I173:J173"/>
    <mergeCell ref="I171:J171"/>
    <mergeCell ref="I205:J205"/>
    <mergeCell ref="I197:J197"/>
    <mergeCell ref="I219:J219"/>
    <mergeCell ref="I217:J217"/>
    <mergeCell ref="I231:J231"/>
    <mergeCell ref="I213:J213"/>
    <mergeCell ref="I220:J220"/>
    <mergeCell ref="I184:J184"/>
    <mergeCell ref="I228:J228"/>
    <mergeCell ref="I1:J1"/>
    <mergeCell ref="I53:J53"/>
    <mergeCell ref="I27:J27"/>
    <mergeCell ref="I84:J84"/>
    <mergeCell ref="I79:J79"/>
    <mergeCell ref="I235:J235"/>
    <mergeCell ref="I242:J242"/>
    <mergeCell ref="I245:J245"/>
    <mergeCell ref="I289:J289"/>
    <mergeCell ref="I75:J75"/>
    <mergeCell ref="I64:J64"/>
    <mergeCell ref="I66:J66"/>
    <mergeCell ref="I67:J67"/>
    <mergeCell ref="I68:J68"/>
    <mergeCell ref="I73:J73"/>
    <mergeCell ref="I74:J74"/>
    <mergeCell ref="I225:J225"/>
    <mergeCell ref="I285:J287"/>
    <mergeCell ref="I257:J257"/>
    <mergeCell ref="I258:J258"/>
    <mergeCell ref="I259:J259"/>
    <mergeCell ref="I39:J39"/>
    <mergeCell ref="I38:J38"/>
    <mergeCell ref="I15:J15"/>
    <mergeCell ref="A90:B90"/>
    <mergeCell ref="I11:J11"/>
    <mergeCell ref="I9:J9"/>
    <mergeCell ref="I45:J45"/>
    <mergeCell ref="I20:J20"/>
    <mergeCell ref="I60:J60"/>
    <mergeCell ref="I262:J262"/>
    <mergeCell ref="I275:J275"/>
    <mergeCell ref="I302:J302"/>
    <mergeCell ref="I274:J274"/>
    <mergeCell ref="I293:J293"/>
    <mergeCell ref="I270:J270"/>
    <mergeCell ref="I23:J23"/>
    <mergeCell ref="I283:J283"/>
    <mergeCell ref="I263:J263"/>
    <mergeCell ref="I280:J280"/>
    <mergeCell ref="I251:J251"/>
    <mergeCell ref="I252:J252"/>
    <mergeCell ref="I290:J290"/>
    <mergeCell ref="I248:J248"/>
    <mergeCell ref="I292:J292"/>
    <mergeCell ref="I288:J288"/>
    <mergeCell ref="I224:J224"/>
    <mergeCell ref="I281:J281"/>
    <mergeCell ref="I2:J2"/>
    <mergeCell ref="I25:J25"/>
    <mergeCell ref="I29:J29"/>
    <mergeCell ref="I16:J16"/>
    <mergeCell ref="I3:J3"/>
    <mergeCell ref="I12:J12"/>
    <mergeCell ref="I14:J14"/>
    <mergeCell ref="I70:J70"/>
    <mergeCell ref="I88:J90"/>
    <mergeCell ref="I54:J54"/>
    <mergeCell ref="I85:J85"/>
    <mergeCell ref="I62:J62"/>
    <mergeCell ref="I69:J69"/>
    <mergeCell ref="I31:J31"/>
    <mergeCell ref="I33:J33"/>
    <mergeCell ref="I58:J58"/>
    <mergeCell ref="I65:J65"/>
    <mergeCell ref="I72:J72"/>
    <mergeCell ref="I32:J32"/>
    <mergeCell ref="I35:J35"/>
    <mergeCell ref="I52:J52"/>
    <mergeCell ref="I57:J57"/>
    <mergeCell ref="I24:J24"/>
    <mergeCell ref="I30:J30"/>
    <mergeCell ref="I226:J226"/>
    <mergeCell ref="I233:J233"/>
    <mergeCell ref="I34:J34"/>
    <mergeCell ref="I44:J44"/>
    <mergeCell ref="I103:J103"/>
    <mergeCell ref="I120:J120"/>
    <mergeCell ref="I105:J105"/>
    <mergeCell ref="I108:J108"/>
    <mergeCell ref="I119:J119"/>
    <mergeCell ref="I140:J140"/>
    <mergeCell ref="I151:J151"/>
    <mergeCell ref="I160:J160"/>
    <mergeCell ref="I210:J210"/>
    <mergeCell ref="I211:J211"/>
    <mergeCell ref="I127:J127"/>
    <mergeCell ref="I128:J128"/>
    <mergeCell ref="I137:J137"/>
    <mergeCell ref="I143:J143"/>
    <mergeCell ref="I148:J148"/>
    <mergeCell ref="I198:J198"/>
    <mergeCell ref="I199:J199"/>
    <mergeCell ref="I188:J188"/>
    <mergeCell ref="I189:J189"/>
    <mergeCell ref="I183:J183"/>
    <mergeCell ref="I195:J195"/>
    <mergeCell ref="I80:J80"/>
    <mergeCell ref="I71:J71"/>
    <mergeCell ref="I78:J78"/>
    <mergeCell ref="I167:J167"/>
    <mergeCell ref="I168:J168"/>
    <mergeCell ref="I169:J169"/>
    <mergeCell ref="I149:J149"/>
    <mergeCell ref="I162:J162"/>
    <mergeCell ref="I126:J126"/>
    <mergeCell ref="I134:J134"/>
    <mergeCell ref="I136:J136"/>
    <mergeCell ref="I138:J138"/>
    <mergeCell ref="I144:J144"/>
    <mergeCell ref="I102:J102"/>
    <mergeCell ref="I106:J106"/>
    <mergeCell ref="I81:J81"/>
    <mergeCell ref="I118:J118"/>
    <mergeCell ref="I91:J91"/>
    <mergeCell ref="I113:J113"/>
    <mergeCell ref="I111:J111"/>
    <mergeCell ref="I115:J115"/>
    <mergeCell ref="I116:J116"/>
    <mergeCell ref="I117:J117"/>
    <mergeCell ref="I21:J21"/>
    <mergeCell ref="I36:J36"/>
    <mergeCell ref="I87:J87"/>
    <mergeCell ref="I104:J104"/>
    <mergeCell ref="I26:J26"/>
    <mergeCell ref="I55:J55"/>
    <mergeCell ref="I82:J82"/>
    <mergeCell ref="I83:J83"/>
    <mergeCell ref="I109:J109"/>
    <mergeCell ref="I101:J101"/>
    <mergeCell ref="I96:J96"/>
    <mergeCell ref="A4:B4"/>
    <mergeCell ref="I4:J4"/>
    <mergeCell ref="I8:J8"/>
    <mergeCell ref="I5:J7"/>
    <mergeCell ref="I46:J46"/>
    <mergeCell ref="I50:J50"/>
    <mergeCell ref="I47:J49"/>
    <mergeCell ref="I42:J42"/>
    <mergeCell ref="I63:J63"/>
    <mergeCell ref="I13:J13"/>
    <mergeCell ref="I17:J17"/>
    <mergeCell ref="I18:J18"/>
    <mergeCell ref="I51:J51"/>
    <mergeCell ref="I59:J59"/>
    <mergeCell ref="I61:J61"/>
    <mergeCell ref="I19:J19"/>
    <mergeCell ref="I22:J22"/>
    <mergeCell ref="I10:J10"/>
    <mergeCell ref="I56:J56"/>
    <mergeCell ref="I28:J28"/>
    <mergeCell ref="I41:J41"/>
    <mergeCell ref="I43:J43"/>
    <mergeCell ref="I37:J37"/>
    <mergeCell ref="I40:J40"/>
    <mergeCell ref="I132:J132"/>
    <mergeCell ref="A146:B146"/>
    <mergeCell ref="I145:J147"/>
    <mergeCell ref="A163:B163"/>
    <mergeCell ref="I163:J163"/>
    <mergeCell ref="I164:J166"/>
    <mergeCell ref="I150:J150"/>
    <mergeCell ref="A92:B92"/>
    <mergeCell ref="I92:J92"/>
    <mergeCell ref="I97:J97"/>
    <mergeCell ref="I98:J98"/>
    <mergeCell ref="I93:J95"/>
    <mergeCell ref="I130:J130"/>
    <mergeCell ref="I131:J131"/>
    <mergeCell ref="I129:J129"/>
    <mergeCell ref="I123:J123"/>
    <mergeCell ref="I124:J124"/>
    <mergeCell ref="I125:J125"/>
    <mergeCell ref="I99:J99"/>
    <mergeCell ref="I100:J100"/>
    <mergeCell ref="A299:B299"/>
    <mergeCell ref="I298:J300"/>
    <mergeCell ref="I307:J307"/>
    <mergeCell ref="I308:J310"/>
    <mergeCell ref="I303:J303"/>
    <mergeCell ref="I177:J177"/>
    <mergeCell ref="I178:J178"/>
    <mergeCell ref="I179:J179"/>
    <mergeCell ref="I133:J133"/>
    <mergeCell ref="I294:J294"/>
    <mergeCell ref="I295:J295"/>
    <mergeCell ref="I296:J296"/>
    <mergeCell ref="I297:J297"/>
    <mergeCell ref="I301:J301"/>
    <mergeCell ref="I157:J157"/>
    <mergeCell ref="I175:J175"/>
    <mergeCell ref="I172:J172"/>
    <mergeCell ref="I141:J141"/>
    <mergeCell ref="I234:J234"/>
    <mergeCell ref="I218:J218"/>
    <mergeCell ref="I238:J238"/>
    <mergeCell ref="I239:J239"/>
    <mergeCell ref="I249:J249"/>
    <mergeCell ref="I250:J250"/>
  </mergeCells>
  <phoneticPr fontId="7" type="noConversion"/>
  <printOptions horizontalCentered="1" gridLines="1"/>
  <pageMargins left="0.2" right="0.2" top="0.3" bottom="0.3" header="0" footer="0"/>
  <pageSetup paperSize="9" scale="94" fitToHeight="0" orientation="portrait" r:id="rId1"/>
  <headerFooter>
    <oddHeader>&amp;L&amp;"Calibri"&amp;9&amp;K000000Classification: Internal&amp;1#</oddHeader>
    <oddFooter>&amp;CPage &amp;P of &amp;N</oddFooter>
  </headerFooter>
  <rowBreaks count="3" manualBreakCount="3">
    <brk id="62" max="12" man="1"/>
    <brk id="150" max="12" man="1"/>
    <brk id="237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0DC3B56C494E81B01879E1F078A5" ma:contentTypeVersion="2" ma:contentTypeDescription="Create a new document." ma:contentTypeScope="" ma:versionID="a711816804160e4c262142418d241555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7B9F2A-2E81-496D-8A76-6AA788EC77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B5AB91-D021-494F-93A8-6493587E6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8FCD6D-C50E-4F71-9A8F-9F6B38D77A2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7" Liner Tally NFQ18-6</vt:lpstr>
      <vt:lpstr>'7" Liner Tally NFQ18-6'!Заголовки_для_печати</vt:lpstr>
      <vt:lpstr>'7" Liner Tally NFQ18-6'!Область_печати</vt:lpstr>
    </vt:vector>
  </TitlesOfParts>
  <Company>Baker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MuhamadFirdaus.Ismail@bakerhughes.com</dc:creator>
  <cp:lastModifiedBy>Maxim Kiselev</cp:lastModifiedBy>
  <cp:lastPrinted>2023-10-03T05:34:22Z</cp:lastPrinted>
  <dcterms:created xsi:type="dcterms:W3CDTF">2021-05-01T05:11:09Z</dcterms:created>
  <dcterms:modified xsi:type="dcterms:W3CDTF">2026-01-25T16:47:20Z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8fbde5-0dd0-43d5-aca2-2bbc289e3948_Enabled">
    <vt:lpwstr>true</vt:lpwstr>
  </property>
  <property fmtid="{D5CDD505-2E9C-101B-9397-08002B2CF9AE}" pid="3" name="MSIP_Label_668fbde5-0dd0-43d5-aca2-2bbc289e3948_SetDate">
    <vt:lpwstr>2022-10-29T05:15:48Z</vt:lpwstr>
  </property>
  <property fmtid="{D5CDD505-2E9C-101B-9397-08002B2CF9AE}" pid="4" name="MSIP_Label_668fbde5-0dd0-43d5-aca2-2bbc289e3948_Method">
    <vt:lpwstr>Privileged</vt:lpwstr>
  </property>
  <property fmtid="{D5CDD505-2E9C-101B-9397-08002B2CF9AE}" pid="5" name="MSIP_Label_668fbde5-0dd0-43d5-aca2-2bbc289e3948_Name">
    <vt:lpwstr>668fbde5-0dd0-43d5-aca2-2bbc289e3948</vt:lpwstr>
  </property>
  <property fmtid="{D5CDD505-2E9C-101B-9397-08002B2CF9AE}" pid="6" name="MSIP_Label_668fbde5-0dd0-43d5-aca2-2bbc289e3948_SiteId">
    <vt:lpwstr>de2c0330-f2e8-4149-a927-0c5a8592f0da</vt:lpwstr>
  </property>
  <property fmtid="{D5CDD505-2E9C-101B-9397-08002B2CF9AE}" pid="7" name="MSIP_Label_668fbde5-0dd0-43d5-aca2-2bbc289e3948_ActionId">
    <vt:lpwstr>c40f1569-2618-4d73-bf15-e2f7c5b4b0c4</vt:lpwstr>
  </property>
  <property fmtid="{D5CDD505-2E9C-101B-9397-08002B2CF9AE}" pid="8" name="MSIP_Label_668fbde5-0dd0-43d5-aca2-2bbc289e3948_ContentBits">
    <vt:lpwstr>1</vt:lpwstr>
  </property>
  <property fmtid="{D5CDD505-2E9C-101B-9397-08002B2CF9AE}" pid="9" name="ContentTypeId">
    <vt:lpwstr>0x010100BE6A0DC3B56C494E81B01879E1F078A5</vt:lpwstr>
  </property>
  <property fmtid="{D5CDD505-2E9C-101B-9397-08002B2CF9AE}" pid="10" name="Order">
    <vt:r8>27094400</vt:r8>
  </property>
</Properties>
</file>